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7" r:id="rId1"/>
  </sheets>
  <externalReferences>
    <externalReference r:id="rId2"/>
  </externalReferences>
  <definedNames>
    <definedName name="_xlnm._FilterDatabase" localSheetId="0" hidden="1">Sheet1!$A$1:$K$257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<sst xmlns="http://schemas.openxmlformats.org/spreadsheetml/2006/main" count="1677" uniqueCount="419">
  <si>
    <t>运营</t>
  </si>
  <si>
    <t>门店号</t>
  </si>
  <si>
    <t>战区</t>
  </si>
  <si>
    <t>省份</t>
  </si>
  <si>
    <t>店铺名称</t>
  </si>
  <si>
    <t>预计开业</t>
  </si>
  <si>
    <t>实际开业</t>
  </si>
  <si>
    <t>建店单</t>
  </si>
  <si>
    <t>资料包</t>
  </si>
  <si>
    <t>当前审批状态</t>
  </si>
  <si>
    <t>审批流程</t>
  </si>
  <si>
    <t>王</t>
  </si>
  <si>
    <t>浙江</t>
  </si>
  <si>
    <t>诸暨大润发店</t>
  </si>
  <si>
    <t>已提交</t>
  </si>
  <si>
    <t>已收集</t>
  </si>
  <si>
    <t>段</t>
  </si>
  <si>
    <t>安徽</t>
  </si>
  <si>
    <t>江苏</t>
  </si>
  <si>
    <t>徐州怡和广场店</t>
  </si>
  <si>
    <t>陈</t>
  </si>
  <si>
    <t>华中</t>
  </si>
  <si>
    <t>湖北</t>
  </si>
  <si>
    <t>咸宁通城店</t>
  </si>
  <si>
    <t>咸宁温泉店</t>
  </si>
  <si>
    <t>钟</t>
  </si>
  <si>
    <t>粤闽</t>
  </si>
  <si>
    <t>广东</t>
  </si>
  <si>
    <t>梅州丰良店</t>
  </si>
  <si>
    <t>吴</t>
  </si>
  <si>
    <t>新疆</t>
  </si>
  <si>
    <t>博尔塔拉精河店</t>
  </si>
  <si>
    <t>西南</t>
  </si>
  <si>
    <t>云南</t>
  </si>
  <si>
    <t>昆明云岭天骄店</t>
  </si>
  <si>
    <t>已通过</t>
  </si>
  <si>
    <t>粤桂</t>
  </si>
  <si>
    <t>珠海金鼎店</t>
  </si>
  <si>
    <t>肇庆幸福湖畔店</t>
  </si>
  <si>
    <t>湖南</t>
  </si>
  <si>
    <t>娄底涟钢店</t>
  </si>
  <si>
    <t>潜江江汉路店</t>
  </si>
  <si>
    <t>窦</t>
  </si>
  <si>
    <t>河南</t>
  </si>
  <si>
    <t>永城永兴街店</t>
  </si>
  <si>
    <t>海南</t>
  </si>
  <si>
    <t>琼海元亨街店</t>
  </si>
  <si>
    <t>江西</t>
  </si>
  <si>
    <t>兴国翡翠广场店</t>
  </si>
  <si>
    <t>马</t>
  </si>
  <si>
    <t>华北</t>
  </si>
  <si>
    <t>河北</t>
  </si>
  <si>
    <t>邯郸复兴商贸城店</t>
  </si>
  <si>
    <t>广西</t>
  </si>
  <si>
    <t>柳州中天城店</t>
  </si>
  <si>
    <t>中山沙溪店</t>
  </si>
  <si>
    <t>长安横增店</t>
  </si>
  <si>
    <t>广州新塘广场店</t>
  </si>
  <si>
    <t>苏州盛泽欧盛花园店</t>
  </si>
  <si>
    <t>驻马店黄海学院店</t>
  </si>
  <si>
    <t>南京奥体店</t>
  </si>
  <si>
    <t>重庆</t>
  </si>
  <si>
    <t>重庆邮电大学店</t>
  </si>
  <si>
    <t>佛山乐从天佑城店</t>
  </si>
  <si>
    <t>承德宽城店</t>
  </si>
  <si>
    <t>温州仙岩店</t>
  </si>
  <si>
    <t>武汉东立国际店</t>
  </si>
  <si>
    <t>陕西</t>
  </si>
  <si>
    <t>西安学府大街店</t>
  </si>
  <si>
    <t>西安鄠邑店</t>
  </si>
  <si>
    <t>瑞金文化广场店</t>
  </si>
  <si>
    <t>东莞横沥时代倾城店</t>
  </si>
  <si>
    <t>东莞三中市场店</t>
  </si>
  <si>
    <t>审批中</t>
  </si>
  <si>
    <t>株洲职教城店</t>
  </si>
  <si>
    <t>惠州三栋店</t>
  </si>
  <si>
    <t>鹤壁体育公园店</t>
  </si>
  <si>
    <t>洛阳南昌路王府井店</t>
  </si>
  <si>
    <t>中山海雅缤纷城店</t>
  </si>
  <si>
    <t>石首新天地店</t>
  </si>
  <si>
    <t>南阳唐河店</t>
  </si>
  <si>
    <t>安阳北大街店</t>
  </si>
  <si>
    <t>福建</t>
  </si>
  <si>
    <t>漳州云霄店</t>
  </si>
  <si>
    <t>泉州时代新城店</t>
  </si>
  <si>
    <t>大田店</t>
  </si>
  <si>
    <t>鹤壁淇滨店</t>
  </si>
  <si>
    <t>郑州华盛里店</t>
  </si>
  <si>
    <t>金科世界城店</t>
  </si>
  <si>
    <t>乌鲁木齐米东店</t>
  </si>
  <si>
    <t>钦州恒基店</t>
  </si>
  <si>
    <t>涟水百悦广场店</t>
  </si>
  <si>
    <t>合肥步行街店</t>
  </si>
  <si>
    <t>山东</t>
  </si>
  <si>
    <t>青岛松乐汀广场店</t>
  </si>
  <si>
    <t>湖北武穴影剧院店</t>
  </si>
  <si>
    <t>九江十里万达店</t>
  </si>
  <si>
    <t>东北</t>
  </si>
  <si>
    <t>黑龙江</t>
  </si>
  <si>
    <t>哈尔滨绿色新城店</t>
  </si>
  <si>
    <t>济南长清大学城店</t>
  </si>
  <si>
    <t>万达广场店</t>
  </si>
  <si>
    <t>吉林</t>
  </si>
  <si>
    <t>长春湖光店</t>
  </si>
  <si>
    <t>金利来店</t>
  </si>
  <si>
    <t>广州大壮名城店</t>
  </si>
  <si>
    <t>马头店</t>
  </si>
  <si>
    <t>博罗新城店</t>
  </si>
  <si>
    <t>北京</t>
  </si>
  <si>
    <t>北京温都水城店</t>
  </si>
  <si>
    <t>定州信誉楼店</t>
  </si>
  <si>
    <t>盛世长安店</t>
  </si>
  <si>
    <t>北京朱辛庄店</t>
  </si>
  <si>
    <t>保定秀兰尚城店</t>
  </si>
  <si>
    <t>武汉泛悦南国广场店</t>
  </si>
  <si>
    <t>桂林吾悦广场店</t>
  </si>
  <si>
    <t>广州悠方天地店</t>
  </si>
  <si>
    <t>东莞东坑喜悦里店</t>
  </si>
  <si>
    <t>预计1月13日</t>
  </si>
  <si>
    <t>天津</t>
  </si>
  <si>
    <t>YOHO国际社区店</t>
  </si>
  <si>
    <t>袁</t>
  </si>
  <si>
    <t>百色龙景店</t>
  </si>
  <si>
    <t>苏州科技城店</t>
  </si>
  <si>
    <t>预计1月14日</t>
  </si>
  <si>
    <t>广州华南理工店</t>
  </si>
  <si>
    <t>预计1月16日</t>
  </si>
  <si>
    <t>荆门中天街店</t>
  </si>
  <si>
    <t>预计1月15日</t>
  </si>
  <si>
    <t>芜湖大桥新城店</t>
  </si>
  <si>
    <t>衡阳酃湖万达店</t>
  </si>
  <si>
    <t>盛世家园店</t>
  </si>
  <si>
    <t>武汉黄家湖大道店</t>
  </si>
  <si>
    <t>湘隆时代广场店武汉</t>
  </si>
  <si>
    <t>烟台芝罘万达店</t>
  </si>
  <si>
    <t>预计1月17日</t>
  </si>
  <si>
    <t>辽宁</t>
  </si>
  <si>
    <t>大悦城店</t>
  </si>
  <si>
    <t>正阳大街店</t>
  </si>
  <si>
    <t>预计1月23日</t>
  </si>
  <si>
    <t>水晶城店</t>
  </si>
  <si>
    <t>东城东升店</t>
  </si>
  <si>
    <t>宁晋店</t>
  </si>
  <si>
    <t>廊坊万向城店</t>
  </si>
  <si>
    <t>巩义正上豪布斯卡店</t>
  </si>
  <si>
    <t>预计1月18日</t>
  </si>
  <si>
    <t>中山东区店</t>
  </si>
  <si>
    <t>三乡店</t>
  </si>
  <si>
    <t>汕尾惠海店</t>
  </si>
  <si>
    <t>北斗路店</t>
  </si>
  <si>
    <t>三亚凤凰镇店</t>
  </si>
  <si>
    <t>预计1月19日</t>
  </si>
  <si>
    <t>盛唐臻品店</t>
  </si>
  <si>
    <t>空港大道店重庆</t>
  </si>
  <si>
    <t>预计1月22日</t>
  </si>
  <si>
    <t>迎水道店天津</t>
  </si>
  <si>
    <t>预计1月28日</t>
  </si>
  <si>
    <t>兰琪花园店</t>
  </si>
  <si>
    <t>御润财富城店</t>
  </si>
  <si>
    <t>十堰人民北路店</t>
  </si>
  <si>
    <t>师范店</t>
  </si>
  <si>
    <t>预计1月20日</t>
  </si>
  <si>
    <t>万科城店</t>
  </si>
  <si>
    <t>阳光新界店</t>
  </si>
  <si>
    <t>槐安桥店</t>
  </si>
  <si>
    <t>预计1月26日</t>
  </si>
  <si>
    <t>武清荔隆店</t>
  </si>
  <si>
    <t>预计1月21日</t>
  </si>
  <si>
    <t>德嘉绿城店</t>
  </si>
  <si>
    <t>恩施海棠湾店</t>
  </si>
  <si>
    <t>吉品街店</t>
  </si>
  <si>
    <t>湛江赤坎店</t>
  </si>
  <si>
    <t>预计1月25日</t>
  </si>
  <si>
    <t>湛江万达店</t>
  </si>
  <si>
    <t>预计1月27日</t>
  </si>
  <si>
    <t>西安北二环店</t>
  </si>
  <si>
    <t>合工大店</t>
  </si>
  <si>
    <t>前通路新街店仙桃</t>
  </si>
  <si>
    <t>东方巴黎店</t>
  </si>
  <si>
    <t>榆林悦乐新天地店</t>
  </si>
  <si>
    <t>辛庄店常熟</t>
  </si>
  <si>
    <t>预计1月30日</t>
  </si>
  <si>
    <t>塔坛店石家庄</t>
  </si>
  <si>
    <t>栖乐荟府店长春</t>
  </si>
  <si>
    <t>预计2月3日</t>
  </si>
  <si>
    <t>宜春万达广场店</t>
  </si>
  <si>
    <t>东宋店德州</t>
  </si>
  <si>
    <t>华世鑫城店衡水</t>
  </si>
  <si>
    <t>预计1月29日</t>
  </si>
  <si>
    <t>西太湖店常州</t>
  </si>
  <si>
    <t>坎门店玉环</t>
  </si>
  <si>
    <t>鱼化寨店西安</t>
  </si>
  <si>
    <t>预计2月2日</t>
  </si>
  <si>
    <t>华阳湖创客坊店</t>
  </si>
  <si>
    <t>预计2月1日</t>
  </si>
  <si>
    <t>万科城店徐州</t>
  </si>
  <si>
    <t>滁州学院店</t>
  </si>
  <si>
    <t>预计2月4日</t>
  </si>
  <si>
    <t>清远太和店</t>
  </si>
  <si>
    <t>预计2月5日</t>
  </si>
  <si>
    <t>古城店</t>
  </si>
  <si>
    <t>新世纪店开州</t>
  </si>
  <si>
    <t>预计2月6日</t>
  </si>
  <si>
    <t>惠安高级中学店</t>
  </si>
  <si>
    <t>蒙城方圆荟店</t>
  </si>
  <si>
    <t>预计2月9日</t>
  </si>
  <si>
    <t>海翼美岁天地店随州</t>
  </si>
  <si>
    <t>团城山店黄石</t>
  </si>
  <si>
    <t>郎溪国购广场店</t>
  </si>
  <si>
    <t>雷炎大街店绥化</t>
  </si>
  <si>
    <t>东方名筑店宁德</t>
  </si>
  <si>
    <t>内蒙古</t>
  </si>
  <si>
    <t>白塔店</t>
  </si>
  <si>
    <t>预计2月10日</t>
  </si>
  <si>
    <t>亳州上善名郡店</t>
  </si>
  <si>
    <t>四川</t>
  </si>
  <si>
    <t>科技学院店眉山</t>
  </si>
  <si>
    <t>随州大润发店</t>
  </si>
  <si>
    <t>预计2月8日</t>
  </si>
  <si>
    <t>青海</t>
  </si>
  <si>
    <t>西宁景岳公寓店</t>
  </si>
  <si>
    <t>深圳杨梅坑店</t>
  </si>
  <si>
    <t>华龙花园店阿克苏</t>
  </si>
  <si>
    <t>东邦购物中心店重庆</t>
  </si>
  <si>
    <t>预计2月7日</t>
  </si>
  <si>
    <t>文谦大道店沙河</t>
  </si>
  <si>
    <t>预计2月24日</t>
  </si>
  <si>
    <t>滨州学院店</t>
  </si>
  <si>
    <t>金普大学城店大连</t>
  </si>
  <si>
    <t>丹尼斯百货店虞城</t>
  </si>
  <si>
    <t>体育路店广安</t>
  </si>
  <si>
    <t>联盛广场店瑞昌</t>
  </si>
  <si>
    <t>斗门井岸西埔店</t>
  </si>
  <si>
    <t>洛阳龙门石窟景区店</t>
  </si>
  <si>
    <t>林旺大道店三亚</t>
  </si>
  <si>
    <t>万达店泾阳</t>
  </si>
  <si>
    <t>德州万达广场店</t>
  </si>
  <si>
    <t>会盟南店鸡泽</t>
  </si>
  <si>
    <t>预计2月12日</t>
  </si>
  <si>
    <t>湛江徐闻一中店</t>
  </si>
  <si>
    <t>奇幻嘉乐比店</t>
  </si>
  <si>
    <t>咸阳北路店天津</t>
  </si>
  <si>
    <t>预计2月19日</t>
  </si>
  <si>
    <t>来宾大地店</t>
  </si>
  <si>
    <t>预计2月20日</t>
  </si>
  <si>
    <t>上海</t>
  </si>
  <si>
    <t>上海万国会议中心店</t>
  </si>
  <si>
    <t>海城店温州</t>
  </si>
  <si>
    <t>射阳吾悦广场店</t>
  </si>
  <si>
    <t>预计2月22日</t>
  </si>
  <si>
    <t>黄埠店</t>
  </si>
  <si>
    <t>昆明朗悦湾店</t>
  </si>
  <si>
    <t>预计2月23日</t>
  </si>
  <si>
    <t>天府广场店</t>
  </si>
  <si>
    <t>三合路店哈尔滨</t>
  </si>
  <si>
    <t>月明路店杭州</t>
  </si>
  <si>
    <t>中山横栏店</t>
  </si>
  <si>
    <t>信江北路店鹰潭</t>
  </si>
  <si>
    <t>预计2月25日</t>
  </si>
  <si>
    <t>阳江百利广场店</t>
  </si>
  <si>
    <t>青州泰华城店潍坊</t>
  </si>
  <si>
    <t>预计2月26日</t>
  </si>
  <si>
    <t>广州厦滘店</t>
  </si>
  <si>
    <t>珠海世纪名城店</t>
  </si>
  <si>
    <t>预计2月28日</t>
  </si>
  <si>
    <t>尚东新天地店普宁</t>
  </si>
  <si>
    <t>融创乐园店</t>
  </si>
  <si>
    <t>云报华府店昆明</t>
  </si>
  <si>
    <t>春节期间</t>
  </si>
  <si>
    <t>怀化学院店</t>
  </si>
  <si>
    <t>景观贵都店眉山</t>
  </si>
  <si>
    <t>沧州颐和中心店</t>
  </si>
  <si>
    <t>潞苑东路店北京</t>
  </si>
  <si>
    <t>北雁商城店滦平</t>
  </si>
  <si>
    <t>协信星光广场店上海</t>
  </si>
  <si>
    <t>新田360广场店辉县</t>
  </si>
  <si>
    <t>预计3月1日</t>
  </si>
  <si>
    <t>建安街店武汉</t>
  </si>
  <si>
    <t>杨凌店</t>
  </si>
  <si>
    <t>桂林理工学院店</t>
  </si>
  <si>
    <t>预计3月3日</t>
  </si>
  <si>
    <t>广州永旺梦乐城店</t>
  </si>
  <si>
    <t>中山古镇店</t>
  </si>
  <si>
    <t>江门东睦路店</t>
  </si>
  <si>
    <t>余家头店武汉</t>
  </si>
  <si>
    <t>预计3月5日</t>
  </si>
  <si>
    <t>福康路店建水</t>
  </si>
  <si>
    <t>赤水源大道店镇雄</t>
  </si>
  <si>
    <t>思茅店</t>
  </si>
  <si>
    <t>预计3月7日</t>
  </si>
  <si>
    <t>东华理工店南昌</t>
  </si>
  <si>
    <t>预计3月10日</t>
  </si>
  <si>
    <t>城中央店宜宾</t>
  </si>
  <si>
    <t>金堂大学城店成都</t>
  </si>
  <si>
    <t>大亚湾万达店</t>
  </si>
  <si>
    <t>春节后</t>
  </si>
  <si>
    <t>龙光城店</t>
  </si>
  <si>
    <t>赞成美树店</t>
  </si>
  <si>
    <t>德化店泉州</t>
  </si>
  <si>
    <t>永春店</t>
  </si>
  <si>
    <t>商贸文化广场店淮南</t>
  </si>
  <si>
    <t>泉州上悦城店</t>
  </si>
  <si>
    <t>潮州店</t>
  </si>
  <si>
    <t>东莞塘厦天虹店</t>
  </si>
  <si>
    <t>深圳玉律店</t>
  </si>
  <si>
    <t>深圳流塘店</t>
  </si>
  <si>
    <t>昱新路店黄山</t>
  </si>
  <si>
    <t>高级中学店西安</t>
  </si>
  <si>
    <t>绿地新都会店深圳</t>
  </si>
  <si>
    <t>东晟广场店惠州</t>
  </si>
  <si>
    <t>北京银河广场店</t>
  </si>
  <si>
    <t>兴华西路店</t>
  </si>
  <si>
    <t>长安大学店西安</t>
  </si>
  <si>
    <t>滨海万达广场店天津</t>
  </si>
  <si>
    <t>临湖店合肥</t>
  </si>
  <si>
    <t>珠海横琴店</t>
  </si>
  <si>
    <t>谷饶店汕头</t>
  </si>
  <si>
    <t>天慧广场店北京</t>
  </si>
  <si>
    <t>中山西区店</t>
  </si>
  <si>
    <t>马驹桥店北京</t>
  </si>
  <si>
    <t>玖玖广场店滁州</t>
  </si>
  <si>
    <t>杨闸环岛店北京</t>
  </si>
  <si>
    <t>人民路店新郑</t>
  </si>
  <si>
    <t>预计3月15日</t>
  </si>
  <si>
    <t>前山店上饶</t>
  </si>
  <si>
    <t>新宁广场店西宁</t>
  </si>
  <si>
    <t>上海外冈店</t>
  </si>
  <si>
    <t>嵩明大学城店昆明</t>
  </si>
  <si>
    <t>预计3月18日</t>
  </si>
  <si>
    <t>恒星城店广元</t>
  </si>
  <si>
    <t>预计3月20日</t>
  </si>
  <si>
    <t>永川万达店</t>
  </si>
  <si>
    <t>预计3月31日</t>
  </si>
  <si>
    <t>贵州</t>
  </si>
  <si>
    <t>黄果树景区店</t>
  </si>
  <si>
    <t>预计4月</t>
  </si>
  <si>
    <t>开封解放路店</t>
  </si>
  <si>
    <t>金华江南店</t>
  </si>
  <si>
    <t>/</t>
  </si>
  <si>
    <t>香港路店武汉</t>
  </si>
  <si>
    <t>不合作了</t>
  </si>
  <si>
    <t>石家庄金象城店</t>
  </si>
  <si>
    <t>待定</t>
  </si>
  <si>
    <t>韶关摩尔城店</t>
  </si>
  <si>
    <t>石家庄北国商城店</t>
  </si>
  <si>
    <t>昆山世茂广场店</t>
  </si>
  <si>
    <t>吉林江北店</t>
  </si>
  <si>
    <t>石河子时代店</t>
  </si>
  <si>
    <t>容桂容里店</t>
  </si>
  <si>
    <t>不开了</t>
  </si>
  <si>
    <t>成都天府环宇店</t>
  </si>
  <si>
    <t>泰安盘古天地店</t>
  </si>
  <si>
    <t>重新选择</t>
  </si>
  <si>
    <t>鞍山万达店</t>
  </si>
  <si>
    <t>北城国际店石家庄</t>
  </si>
  <si>
    <t>待转让</t>
  </si>
  <si>
    <t>惠友购物广场店容城</t>
  </si>
  <si>
    <t>新华路店邢台</t>
  </si>
  <si>
    <t>药市北大街店安国</t>
  </si>
  <si>
    <t>泊富店张家界</t>
  </si>
  <si>
    <t>礼嘉天街店重庆</t>
  </si>
  <si>
    <t>水韵新城店盐城</t>
  </si>
  <si>
    <t>河北工程大学店邯郸</t>
  </si>
  <si>
    <t>师院店上饶</t>
  </si>
  <si>
    <t>昌图步行街店昌图</t>
  </si>
  <si>
    <t>西藏</t>
  </si>
  <si>
    <t>少年宫店拉萨</t>
  </si>
  <si>
    <t>爱联店</t>
  </si>
  <si>
    <t>已抄送 | 线上督导-鹿世鸣-督导部 已抄送 01/10 10:18;
已转审 | 贺龙娇 已转审 01/10 16:12;
已同意 | 诸静逸 已同意 01/12 12:26;
已同意 | 杨文慧 已同意 01/12 12:27;
已同意 | 施工监理-范钟欣-13817733545 已同意 01/12 15:52;
已同意 | 王伟清 已同意 01/12 16:08;
已同意 | 刘崇宇-18616022203-督导部 已同意 01/15 13:47;
已同意 | 蔡文佳-18916500662-线下运营部 已同意 01/15 14:38;
已同意 | 线下堂食助理-婷婷 已同意 01/15 15:34;
已同意 | 单玮-13816935059-督导部 已同意 01/15 17:14;
已抄送 | 卢家豪 已抄送 01/15 17:14;
已抄送 | 抖音&amp;快手-周幂-17521714387 已抄送 01/15 17:14;
已同意 | 苏磊 已同意 01/15 17:15;
已抄送 | 翁嘉隆-线上运营总监-13611699917 已抄送 01/15 17:15;
已同意 | 陈宇航-线上助理-18350349892 三平台建店完成 已同意 01/27 16:27;
已抄送 | 谢芳 已抄送 01/27 16:27;
已抄送 | 黄琪艳 已抄送 01/27 16:27;
已抄送 | 王京海 已抄送 01/27 16:27</t>
  </si>
  <si>
    <t>光谷汇富店</t>
  </si>
  <si>
    <t>已抄送 | 线上督导-鹿世鸣-督导部 已抄送 01/10 10:21;
已同意 | 贺龙娇 已同意 01/10 16:06;
已同意 | 杨文慧 已同意 01/10 17:23;
已同意 | 施工监理-范钟欣-13817733545 已同意 01/10 17:28;
已同意 | 王伟清 已同意 01/10 17:30;
已同意 | 刘崇宇-18616022203-督导部 已同意 01/10 20:59;
已同意 | 蔡文佳-18916500662-线下运营部 已同意 01/11 17:14;
已同意 | 线下堂食助理-婷婷 已同意 01/11 19:38;
已同意 | 单玮-13816935059-督导部 已同意 01/12 11:04;
已抄送 | 卢家豪 已抄送 01/12 11:04;
已抄送 | 抖音&amp;快手-周幂-17521714387 已抄送 01/12 11:04;
已同意 | 苏磊 已同意 01/12 11:05;
已抄送 | 翁嘉隆-线上运营总监-13611699917 已抄送 01/12 11:05;
已同意 | 陈宇航-线上助理-18350349892 三平台建店完成 已同意 01/17 17:13;
已抄送 | 谢芳 已抄送 01/17 17:13;
已抄送 | 黄琪艳 已抄送 01/17 17:13;
已抄送 | 王京海 已抄送 01/17 17:13</t>
  </si>
  <si>
    <t>平潭店</t>
  </si>
  <si>
    <t>已抄送 | 线上督导-鹿世鸣-督导部 已抄送 01/10 17:58;
已同意 | 诸静逸 已同意 01/12 13:30;
已同意 | 杨文慧 已同意 01/12 13:50;
已同意 | 施工监理-范钟欣-13817733545 已同意 01/12 15:49;
已同意 | 王伟清 已同意 01/12 16:09;
已同意 | 刘崇宇-18616022203-督导部 已同意 01/13 17:37;
已同意 | 蔡文佳-18916500662-线下运营部 已同意 01/13 21:09;
已同意 | 线下堂食助理-婷婷 已同意 01/14 10:23;
已同意 | 单玮-13816935059-督导部 已同意 01/14 17:16;
已抄送 | 卢家豪 已抄送 01/14 17:16;
已抄送 | 抖音&amp;快手-周幂-17521714387 已抄送 01/14 17:16;
已同意 | 苏磊 已同意 01/14 17:26;
已抄送 | 翁嘉隆-线上运营总监-13611699917 已抄送 01/14 17:26;
已同意 | 陈宇航-线上助理-18350349892 只是换证 已同意 01/19 17:10;
已抄送 | 谢芳 已抄送 01/19 17:10;
已抄送 | 黄琪艳 已抄送 01/19 17:10;
已抄送 | 王京海 已抄送 01/19 17:10</t>
  </si>
  <si>
    <t>嵊州店</t>
  </si>
  <si>
    <t>已抄送 | 线上督导-鹿世鸣-督导部 已抄送 01/10 18:16;
已同意 | 诸静逸 已同意 01/12 13:36;
已同意 | 杨文慧 已同意 01/12 13:50;
已同意 | 施工监理-范钟欣-13817733545 已同意 01/12 15:47;
已同意 | 王伟清 已同意 01/12 16:09;
已同意 | 刘崇宇-18616022203-督导部 已同意 01/13 17:39;
已同意 | 蔡文佳-18916500662-线下运营部 已同意 01/13 21:08;
已同意 | 线下堂食助理-婷婷 已同意 01/14 10:22;
已同意 | 单玮-13816935059-督导部 已同意 01/14 17:16;
已抄送 | 卢家豪 已抄送 01/14 17:16;
已抄送 | 抖音&amp;快手-周幂-17521714387 已抄送 01/14 17:16;
已同意 | 苏磊 已同意 01/14 17:26;
已抄送 | 翁嘉隆-线上运营总监-13611699917 已抄送 01/14 17:26;
已同意 | 陈宇航-线上助理-18350349892 只是换证 已同意 01/19 17:10;
已抄送 | 谢芳 已抄送 01/19 17:10;
已抄送 | 黄琪艳 已抄送 01/19 17:10;
已抄送 | 王京海 已抄送 01/19 17:10</t>
  </si>
  <si>
    <t>汝州店</t>
  </si>
  <si>
    <t>已抄送 | 线上督导服务号-如有异议请联系区域经理（此账号不做回复） 已抄送 01/12 15:47;
已抄送 | 线上督导-鹿世鸣-督导部 已抄送 01/12 15:47;
已同意 | 贺龙娇 已同意 01/14 15:37;
已同意 | 杨文慧 已同意 01/14 15:53;
已同意 | 施工监理-范钟欣-13817733545 已同意 01/14 17:37;
已同意 | 刘崇宇-18616022203-督导部 已同意 01/15 13:46;
已同意 | 蔡文佳-18916500662-线下运营部 已同意 01/18 13:45;
已同意 | 线下堂食助理-婷婷 已同意 01/18 15:22;
已同意 | 单玮-13816935059-督导部 已同意 01/19 15:23;
已抄送 | 卢家豪 已抄送 01/19 15:23;
已抄送 | 抖音&amp;快手-周幂-17521714387 已抄送 01/19 15:23;
已同意 | 苏磊 已同意 01/19 15:29;
已抄送 | 翁嘉隆-线上运营总监-13611699917 已抄送 01/19 15:29;
已同意 | 陈宇航-线上助理-18350349892 只建美团 已同意 01/23 17:33;
已抄送 | 谢芳 已抄送 01/23 17:33;
已抄送 | 黄琪艳 已抄送 01/23 17:33;
已抄送 | 王京海 已抄送 01/23 17:33</t>
  </si>
  <si>
    <t>金职院西门店</t>
  </si>
  <si>
    <t>已抄送 | 线上督导服务号-如有异议请联系区域经理（此账号不做回复） 已抄送 01/13 10:12;
已抄送 | 线上督导-鹿世鸣-督导部 已抄送 01/13 10:12;
已同意 | 贺龙娇 已同意 01/13 14:24;
已同意 | 杨文慧 已同意 01/13 14:39;
已同意 | 施工监理-范钟欣-13817733545 已同意 01/13 14:43;
已同意 | 刘崇宇-18616022203-督导部 已同意 01/14 11:57;
已同意 | 蔡文佳-18916500662-线下运营部 已同意 01/14 12:01;
已同意 | 线下堂食助理-婷婷 已同意 01/14 12:02;
已同意 | 单玮-13816935059-督导部 已同意 01/14 14:07;
已抄送 | 卢家豪 已抄送 01/14 14:07;
已抄送 | 抖音&amp;快手-周幂-17521714387 已抄送 01/14 14:07;
已同意 | 苏磊 已同意 01/14 14:12;
已抄送 | 翁嘉隆-线上运营总监-13611699917 已抄送 01/14 14:12;
已同意 | 陈宇航-线上助理-18350349892 只是换证 已同意 01/19 17:09;
已抄送 | 谢芳 已抄送 01/19 17:09;
已抄送 | 黄琪艳 已抄送 01/19 17:09;
已抄送 | 王京海 已抄送 01/19 17:09</t>
  </si>
  <si>
    <t>泉城广场店</t>
  </si>
  <si>
    <t>已抄送 | 线上督导服务号-如有异议请联系区域经理（此账号不做回复） 已抄送 01/13 17:38;
已抄送 | 谢芳 已抄送 01/13 17:38;
已抄送 | 线上督导-鹿世鸣-督导部 已抄送 01/13 17:38;
已同意 | 贺龙娇 已同意 01/14 15:22;
已同意 | 杨文慧 已同意 01/14 15:23;
已同意 | 施工监理-范钟欣-13817733545 已同意 01/19 12:25;
已同意 | 刘崇宇-18616022203-督导部 已同意 01/19 15:40;
已同意 | 蔡文佳-18916500662-线下运营部 已同意 01/19 19:04;
已同意 | 线下堂食助理-婷婷 已同意 01/20 10:23;
已同意 | 单玮-13816935059-督导部 已同意 01/20 10:34;
已抄送 | 卢家豪 已抄送 01/20 10:34;
已抄送 | 抖音&amp;快手-周幂-17521714387 已抄送 01/20 10:34;
已同意 | 苏磊 已同意 01/20 10:35;
已抄送 | 翁嘉隆-线上运营总监-13611699917 已抄送 01/20 10:35;
已同意 | 陈宇航-线上助理-18350349892 三平台建店完成 已同意 01/23 17:33;
已抄送 | 谢芳 已抄送 01/23 17:33;
已抄送 | 黄琪艳 已抄送 01/23 17:33;
已抄送 | 王京海 已抄送 01/23 17:33</t>
  </si>
  <si>
    <t>昌吉新汇嘉店</t>
  </si>
  <si>
    <t>已抄送 | 线上督导服务号-如有异议请联系区域经理（此账号不做回复） 已抄送 01/20 17:10;
已抄送 | 谢芳 已抄送 01/20 17:10;
已抄送 | 线上督导-鹿世鸣-督导部 已抄送 01/20 17:10;
已同意 | 贺龙娇 已同意 01/21 14:39;
已同意 | 杨文慧 已同意 01/21 15:00;
已同意 | 施工监理-范钟欣-13817733545 已同意 01/21 15:05;
已同意 | 王伟清 已同意 01/21 17:36;
已同意 | 刘崇宇-18616022203-督导部 已同意 01/22 17:27;
已同意 | 蔡文佳-18916500662-线下运营部 已同意 01/22 21:47;
已同意 | 线下堂食助理-婷婷 已同意 01/23 10:02;
已同意 | 单玮-13816935059-督导部 已同意 01/23 18:49;
已抄送 | 卢家豪 已抄送 01/23 18:49;
已抄送 | 抖音&amp;快手-周幂-17521714387 已抄送 01/23 18:49;
已同意 | 苏磊 已同意 01/23 18:50;
已抄送 | 翁嘉隆-线上运营总监-13611699917 已抄送 01/23 18:50</t>
  </si>
  <si>
    <t>淮北步行街店</t>
  </si>
  <si>
    <t>已抄送 | 线上督导服务号-如有异议请联系区域经理（此账号不做回复） 已抄送 01/23 16:59;
已抄送 | 谢芳 已抄送 01/23 16:59;
已抄送 | 线上督导-鹿世鸣-督导部 已抄送 01/23 16:59;
已同意 | 李婕 已同意 01/30 10:39;
已同意 | 杨文慧 已同意 01/30 10:43;
已同意 | 施工监理-范钟欣-13817733545 已同意 01/30 10:50;
已同意 | 刘崇宇-18616022203-督导部 已同意 01/30 13:43;
已同意 | 蔡文佳-18916500662-线下运营部 已同意 01/30 16:16;
已同意 | 线下堂食助理-婷婷 已同意 01/30 16:28;
已同意 | 单玮-13816935059-督导部 已同意 01/30 16:48;
已抄送 | 卢家豪 已抄送 01/30 16:48;
已抄送 | 抖音&amp;快手-周幂-17521714387 已抄送 01/30 16:48;
已同意 | 苏磊 已同意 01/30 17:04;
已抄送 | 翁嘉隆-线上运营总监-13611699917 已抄送 01/30 17:04</t>
  </si>
  <si>
    <t>李沧店</t>
  </si>
  <si>
    <t>已抄送 | 线上督导服务号-如有异议请联系区域经理（此账号不做回复） 已抄送 01/24 14:02;
已抄送 | 谢芳 已抄送 01/24 14:02;
已抄送 | 线上督导-鹿世鸣-督导部 已抄送 01/24 14:02;
已转审 | 贺龙娇 已转审 01/30 13:49;
已同意 | 李婕 已同意 02/04 18:46;
已同意 | 杨文慧 已同意 02/04 18:48;
已同意 | 施工监理-范钟欣-13817733545 已同意 02/05 09:40;
已同意 | 刘崇宇-18616022203-督导部 已同意 02/05 14:56;
已同意 | 蔡文佳-18916500662-线下运营部 已同意 02/05 15:15;
已同意 | 休息中线下堂食助理-婷婷 已同意 02/05 15:26;
已同意 | 单玮-13816935059-督导部 已同意 02/05 16:45;
已抄送 | 卢家豪 已抄送 02/05 16:45;
已抄送 | 抖音&amp;快手-周幂-17521714387 已抄送 02/05 16:45;
已同意 | 苏磊 已同意 02/05 16:45;
已抄送 | 翁嘉隆-线上运营总监-13611699917 已抄送 02/05 16:45;
已同意 | 陈宇航-线上助理-18350349892 续签合同 已同意 02/06 11:11;
已抄送 | 谢芳 已抄送 02/06 11:11;
已抄送 | 黄琪艳 已抄送 02/06 11:11;
已抄送 | 王京海 已抄送 02/06 11:11</t>
  </si>
  <si>
    <t>葵涌店</t>
  </si>
  <si>
    <t>已抄送 | 线上督导服务号-如有异议请联系区域经理（此账号不做回复） 已抄送 01/27 16:35;
已抄送 | 谢芳 已抄送 01/27 16:35;
已抄送 | 线上督导-鹿世鸣-督导部 已抄送 01/27 16:35;
已转审 | 贺龙娇 已转审 01/30 13:49;
已同意 | 李婕 已同意 01/30 16:11;
已同意 | 杨文慧 已同意 01/30 16:24;
已同意 | 施工监理-范钟欣-13817733545 已同意 01/30 16:27;
已同意 | 刘崇宇-18616022203-督导部 已同意 02/01 18:44;
已同意 | 蔡文佳-18916500662-线下运营部 已同意 02/01 20:30;
已同意 | 线下堂食助理-婷婷 已同意 02/02 10:36;
已同意 | 单玮-13816935059-督导部 已同意 02/02 16:17;
已抄送 | 卢家豪 已抄送 02/02 16:17;
已抄送 | 抖音&amp;快手-周幂-17521714387 已抄送 02/02 16:17;
已同意 | 苏磊 已同意 02/02 16:17;
已抄送 | 翁嘉隆-线上运营总监-13611699917 已抄送 02/02 16:17;
已同意 | 陈宇航-线上助理-18350349892 不用建店，用老店 已同意 02/02 19:21;
已抄送 | 谢芳 已抄送 02/02 19:21;
已抄送 | 黄琪艳 已抄送 02/02 19:21;
已抄送 | 王京海 已抄送 02/02 19:21</t>
  </si>
  <si>
    <t>凤岗雁田店</t>
  </si>
  <si>
    <t>已抄送 | 线上督导服务号-如有异议请联系区域经理（此账号不做回复） 已抄送 01/28 17:13;
已抄送 | 谢芳 已抄送 01/28 17:13;
已抄送 | 线上督导-鹿世鸣-督导部 已抄送 01/28 17:13;
已转审 | 贺龙娇 已转审 01/30 13:50;
已同意 | 李婕 已同意 02/04 18:46;
已同意 | 杨文慧 已同意 02/04 18:47;
已同意 | 施工监理-范钟欣-13817733545 已同意 02/05 09:39;
已同意 | 王伟清 已同意 02/05 09:39;
已同意 | 刘崇宇-18616022203-督导部 已同意 02/05 14:56;
已同意 | 蔡文佳-18916500662-线下运营部 已同意 02/05 18:16;
已同意 | 休息中线下堂食助理-婷婷 已同意 02/05 18:43;
已同意 | 单玮-13816935059-督导部 已同意 02/05 20:32;
已抄送 | 卢家豪 已抄送 02/05 20:32;
已抄送 | 抖音&amp;快手-周幂-17521714387 已抄送 02/05 20:32;
已同意 | 苏磊 已同意 02/05 20:32;
已抄送 | 翁嘉隆-线上运营总监-13611699917 已抄送 02/05 20:32;
已同意 | 陈宇航-线上助理-18350349892 门店换证 已同意 02/06 11:12;
已抄送 | 谢芳 已抄送 02/06 11:12;
已抄送 | 黄琪艳 已抄送 02/06 11:12;
已抄送 | 王京海 已抄送 02/06 11:12</t>
  </si>
  <si>
    <t>修水店</t>
  </si>
  <si>
    <t>已抄送 | 线上督导服务号-如有异议请联系区域经理（此账号不做回复） 已抄送 01/30 10:37;
已抄送 | 谢芳 已抄送 01/30 10:37;
已抄送 | 线上督导-鹿世鸣-督导部 已抄送 01/30 10:37;
已同意 | 贺龙娇 已同意 01/30 20:03;
已同意 | 杨文慧 已同意 01/30 20:04;
已同意 | 施工监理-范钟欣-13817733545 已同意 02/04 09:19;
已同意 | 刘崇宇-18616022203-督导部 已同意 02/05 17:35;
已同意 | 蔡文佳-18916500662-线下运营部 已同意 02/05 18:11;
已同意 | 休息中线下堂食助理-婷婷 已同意 02/05 18:12;
已同意 | 单玮-13816935059-督导部 已同意 02/05 18:43;
已抄送 | 卢家豪 已抄送 02/05 18:43;
已抄送 | 抖音&amp;快手-周幂-17521714387 已抄送 02/05 18:43;
已同意 | 苏磊 已同意 02/05 18:43;
已抄送 | 翁嘉隆-线上运营总监-13611699917 已抄送 02/05 18:43;
已同意 | 陈宇航-线上助理-18350349892 换证，不用建店 已同意 02/06 11:10;
已抄送 | 谢芳 已抄送 02/06 11:10;
已抄送 | 黄琪艳 已抄送 02/06 11:10;
已抄送 | 王京海 已抄送 02/06 11:10</t>
  </si>
  <si>
    <t>蓬江万达店</t>
  </si>
  <si>
    <t>已抄送 | 线上督导服务号-如有异议请联系区域经理（此账号不做回复） 已抄送 01/30 10:40;
已抄送 | 谢芳 已抄送 01/30 10:40;
已抄送 | 线上督导-鹿世鸣-督导部 已抄送 01/30 10:40;
已同意 | 贺龙娇 已同意 01/30 13:39;
已同意 | 杨文慧 已同意 01/30 13:51;
已同意 | 施工监理-范钟欣-13817733545 已同意 01/30 14:05;
已同意 | 王伟清 已同意 01/30 14:14;
已同意 | 刘崇宇-18616022203-督导部 已同意 02/02 12:38;
已同意 | 蔡文佳-18916500662-线下运营部 已同意 02/02 15:44;
已同意 | 线下堂食助理-婷婷 已同意 02/02 15:59;
已同意 | 单玮-13816935059-督导部 已同意 02/02 17:50;
已抄送 | 卢家豪 已抄送 02/02 17:50;
已抄送 | 抖音&amp;快手-周幂-17521714387 已抄送 02/02 17:50;
已同意 | 苏磊 已同意 02/02 17:50;
已抄送 | 翁嘉隆-线上运营总监-13611699917 已抄送 02/02 17:50</t>
  </si>
  <si>
    <t>黄埭店</t>
  </si>
  <si>
    <t>已抄送 | 线上督导服务号-如有异议请联系区域经理（此账号不做回复） 已抄送 01/30 15:00;
已抄送 | 谢芳 已抄送 01/30 15:00;
已抄送 | 线上督导-鹿世鸣-督导部 已抄送 01/30 15:00;
已转审 | 贺龙娇 已转审 01/30 15:26;
已同意 | 李婕 已同意 02/04 17:02;
已同意 | 杨文慧 已同意 02/04 17:22;
已同意 | 施工监理-范钟欣-13817733545 已同意 02/04 17:28;
已同意 | 刘崇宇-18616022203-督导部 已同意 02/04 18:05;
已同意 | 蔡文佳-18916500662-线下运营部 已同意 02/04 18:47;
已同意 | 线下堂食助理-婷婷 已同意 02/04 18:57;
已同意 | 单玮-13816935059-督导部 已同意 02/05 09:35;
已抄送 | 卢家豪 已抄送 02/05 09:35;
已抄送 | 抖音&amp;快手-周幂-17521714387 已抄送 02/05 09:35;
已同意 | 苏磊 已同意 02/05 09:35;
已抄送 | 翁嘉隆-线上运营总监-13611699917 已抄送 02/05 09:35;
已同意 | 陈宇航-线上助理-18350349892 不用建店，单纯换证 已同意 02/05 11:21;
已抄送 | 谢芳 已抄送 02/05 11:21;
已抄送 | 黄琪艳 已抄送 02/05 11:21;
已抄送 | 王京海 已抄送 02/05 11:21</t>
  </si>
  <si>
    <t>许村店</t>
  </si>
  <si>
    <t>已抄送 | 线上督导服务号-如有异议请联系区域经理（此账号不做回复） 已抄送 01/30 17:25;
已抄送 | 谢芳 已抄送 01/30 17:25;
已抄送 | 线上督导-鹿世鸣-督导部 已抄送 01/30 17:25;
已同意 | 贺龙娇 已同意 02/02 18:38;
已同意 | 杨文慧 已同意 02/02 18:39;
已同意 | 施工监理-范钟欣-13817733545 已同意 02/03 16:12;
已同意 | 刘崇宇-18616022203-督导部 已同意 02/04 18:12;
已同意 | 蔡文佳-18916500662-线下运营部 已同意 02/04 18:38;
已同意 | 线下堂食助理-婷婷 已同意 02/04 18:56;
已同意 | 单玮-13816935059-督导部 已同意 02/04 19:58;
已抄送 | 卢家豪 已抄送 02/04 19:58;
已抄送 | 抖音&amp;快手-周幂-17521714387 已抄送 02/04 19:58;
已同意 | 苏磊 已同意 02/05 09:35;
已抄送 | 翁嘉隆-线上运营总监-13611699917 已抄送 02/05 09:35</t>
  </si>
  <si>
    <t>南大街店</t>
  </si>
  <si>
    <t>已抄送 | 线上督导服务号-如有异议请联系区域经理（此账号不做回复） 已抄送 01/31 17:34;
已抄送 | 谢芳 已抄送 01/31 17:34;
已抄送 | 线上督导-鹿世鸣-督导部 已抄送 01/31 17:34;
已同意 | 李婕 已同意 02/02 16:31;
已同意 | 杨文慧 已同意 02/02 16:47;
已同意 | 施工监理-范钟欣-13817733545 已同意 02/02 16:55;
已同意 | 刘崇宇-18616022203-督导部 已同意 02/02 17:57;
已同意 | 蔡文佳-18916500662-线下运营部 已同意 02/03 18:59;
已同意 | 线下堂食助理-婷婷 已同意 02/03 19:00;
已同意 | 单玮-13816935059-督导部 已同意 02/03 19:40;
已抄送 | 卢家豪 已抄送 02/03 19:40;
已抄送 | 抖音&amp;快手-周幂-17521714387 已抄送 02/03 19:40;
已同意 | 苏磊 已同意 02/03 21:14;
已抄送 | 翁嘉隆-线上运营总监-13611699917 已抄送 02/03 21:14;
已同意 | 陈宇航-线上助理-18350349892 门店换证，不需要重新建店 已同意 02/04 10:37;
已抄送 | 谢芳 已抄送 02/04 10:37;
已抄送 | 黄琪艳 已抄送 02/04 10:37;
已抄送 | 王京海 已抄送 02/04 10:37</t>
  </si>
  <si>
    <t>文鼎店</t>
  </si>
  <si>
    <t>已抄送 | 线上督导服务号-如有异议请联系区域经理（此账号不做回复） 已抄送 01/31 17:35;
已抄送 | 谢芳 已抄送 01/31 17:35;
已抄送 | 线上督导-鹿世鸣-督导部 已抄送 01/31 17:35;
已同意 | 贺龙娇 已同意 02/04 15:46;
已同意 | 杨文慧 已同意 02/04 15:50;
已同意 | 施工监理-范钟欣-13817733545 已同意 02/04 15:52;
已同意 | 刘崇宇-18616022203-督导部 已同意 02/04 18:09;
已同意 | 蔡文佳-18916500662-线下运营部 已同意 02/04 18:42;
已同意 | 线下堂食助理-婷婷 已同意 02/04 18:58;
已同意 | 单玮-13816935059-督导部 已同意 02/04 18:59;
已抄送 | 卢家豪 已抄送 02/04 18:59;
已抄送 | 抖音&amp;快手-周幂-17521714387 已抄送 02/04 18:59;
已同意 | 苏磊 已同意 02/04 19:07;
已抄送 | 翁嘉隆-线上运营总监-13611699917 已抄送 02/04 19:07;
已同意 | 陈宇航-线上助理-18350349892 不用建店，单纯换证 已同意 02/05 11:21;
已抄送 | 谢芳 已抄送 02/05 11:21;
已抄送 | 黄琪艳 已抄送 02/05 11:21;
已抄送 | 王京海 已抄送 02/05 11:21</t>
  </si>
  <si>
    <t>佳园路店</t>
  </si>
  <si>
    <t>已抄送 | 线上督导服务号-如有异议请联系区域经理（此账号不做回复） 已抄送 02/02 17:55;
已抄送 | 谢芳 已抄送 02/02 17:55;
已抄送 | 线上督导-鹿世鸣-督导部 已抄送 02/02 17:55;
已同意 | 贺龙娇 已同意 02/04 15:45;
已同意 | 杨文慧 已同意 02/04 15:49;
已同意 | 施工监理-范钟欣-13817733545 已同意 02/05 14:29;
已同意 | 刘崇宇-18616022203-督导部 已同意 02/05 14:54;
已同意 | 蔡文佳-18916500662-线下运营部 已同意 02/05 15:19;
已同意 | 线下堂食助理-婷婷 已同意 02/05 15:20;
已同意 | 单玮-13816935059-督导部 已同意 02/05 16:56;
已抄送 | 卢家豪 已抄送 02/05 16:56;
已抄送 | 抖音&amp;快手-周幂-17521714387 已抄送 02/05 16:56;
已同意 | 苏磊 已同意 02/05 17:02;
已抄送 | 翁嘉隆-线上运营总监-13611699917 已抄送 02/05 17:02</t>
  </si>
  <si>
    <t>鳌江银泰城店</t>
  </si>
  <si>
    <t>已抄送 | 线上督导服务号-如有异议请联系区域经理（此账号不做回复） 已抄送 02/03 11:50;
已抄送 | 谢芳 已抄送 02/03 11:50;
已抄送 | 线上督导-鹿世鸣-督导部 已抄送 02/03 11:50;
已转审 | 贺龙娇 已转审 02/03 14:12;
已同意 | 李婕 已同意 02/04 17:01;
已同意 | 杨文慧 已同意 02/04 17:21;
已同意 | 施工监理-范钟欣-13817733545 已同意 02/04 17:23;
已同意 | 王伟清 已同意 02/04 17:31;
已同意 | 刘崇宇-18616022203-督导部 已同意 02/05 14:52;
已同意 | 蔡文佳-18916500662-线下运营部 已同意 02/05 18:24;
已同意 | 休息中线下堂食助理-婷婷 已同意 02/05 18:44;
已同意 | 单玮-13816935059-督导部 已同意 02/05 20:27;
已抄送 | 卢家豪 已抄送 02/05 20:27;
已抄送 | 抖音&amp;快手-周幂-17521714387 已抄送 02/05 20:27;
已同意 | 苏磊 已同意 02/05 20:32;
已抄送 | 翁嘉隆-线上运营总监-13611699917 已抄送 02/05 20:32;
已同意 | 陈宇航-线上助理-18350349892 门店换证 已同意 02/06 10:32;
已抄送 | 谢芳 已抄送 02/06 10:32;
已抄送 | 黄琪艳 已抄送 02/06 10:32;
已抄送 | 王京海 已抄送 02/06 10:32</t>
  </si>
  <si>
    <t>交大创新港</t>
  </si>
  <si>
    <t>已抄送 | 线上督导服务号-如有异议请联系区域经理（此账号不做回复） 已抄送 02/03 14:06;
已抄送 | 谢芳 已抄送 02/03 14:06;
已抄送 | 线上督导-鹿世鸣-督导部 已抄送 02/03 14:06;
已转审 | 贺龙娇 已转审 02/03 14:13;
已同意 | 李婕 已同意 02/04 17:00;
已同意 | 杨文慧 已同意 02/04 17:22;
已同意 | 施工监理-范钟欣-13817733545 已同意 02/04 17:24;
已同意 | 刘崇宇-18616022203-督导部 已同意 02/04 18:08;
已同意 | 蔡文佳-18916500662-线下运营部 已同意 02/05 12:21;
已同意 | 线下堂食助理-婷婷 已同意 02/05 12:28;
已同意 | 单玮-13816935059-督导部 已同意 02/05 13:48;
已抄送 | 卢家豪 已抄送 02/05 13:48;
已抄送 | 抖音&amp;快手-周幂-17521714387 已抄送 02/05 13:48;
已同意 | 苏磊 已同意 02/05 13:49;
已抄送 | 翁嘉隆-线上运营总监-13611699917 已抄送 02/05 13:49;
已同意 | 陈宇航-线上助理-18350349892 门店换证不重新建店 已同意 02/05 17:19;
已抄送 | 谢芳 已抄送 02/05 17:19;
已抄送 | 黄琪艳 已抄送 02/05 17:19;
已抄送 | 王京海 已抄送 02/05 17:19</t>
  </si>
  <si>
    <t>武进大学</t>
  </si>
  <si>
    <t>已抄送 | 线上督导服务号-如有异议请联系区域经理（此账号不做回复） 已抄送 02/03 16:23;
已抄送 | 谢芳 已抄送 02/03 16:23;
已抄送 | 线上督导-鹿世鸣-督导部 已抄送 02/03 16:23;
已同意 | 贺龙娇 已同意 02/04 16:53;
已同意 | 杨文慧 已同意 02/04 17:23</t>
  </si>
  <si>
    <t>石码店</t>
  </si>
  <si>
    <t>已抄送 | 线上督导服务号-如有异议请联系区域经理（此账号不做回复） 已抄送 02/04 10:02;
已抄送 | 谢芳 已抄送 02/04 10:02;
已抄送 | 线上督导-鹿世鸣-督导部 已抄送 02/04 10:02;
已转审 | 贺龙娇 已转审 02/04 14:57;
已同意 | 李婕 已同意 02/04 16:59;
已同意 | 杨文慧 已同意 02/04 17:23;
已同意 | 施工监理-范钟欣-13817733545 已同意 02/05 09:50;
已同意 | 刘崇宇-18616022203-督导部 已同意 02/05 12:10;
已同意 | 蔡文佳-18916500662-线下运营部 已同意 02/05 12:18;
已同意 | 线下堂食助理-婷婷 已同意 02/05 12:27;
已同意 | 单玮-13816935059-督导部 已同意 02/05 13:53;
已抄送 | 卢家豪 已抄送 02/05 13:53;
已抄送 | 抖音&amp;快手-周幂-17521714387 已抄送 02/05 13:53;
已同意 | 苏磊 已同意 02/05 13:53;
已抄送 | 翁嘉隆-线上运营总监-13611699917 已抄送 02/05 13:53</t>
  </si>
  <si>
    <t>杭州城站店</t>
  </si>
  <si>
    <t>已抄送 | 线上督导服务号-如有异议请联系区域经理（此账号不做回复） 已抄送 02/04 11:04;
已抄送 | 谢芳 已抄送 02/04 11:04;
已抄送 | 线上督导-鹿世鸣-督导部 已抄送 02/04 11:04;
已同意 | 李婕 已同意 02/05 15:55;
已同意 | 杨文慧 已同意 02/05 18:18</t>
  </si>
  <si>
    <t>麦德龙（光华）店</t>
  </si>
  <si>
    <t>已抄送 | 线上督导服务号-如有异议请联系区域经理（此账号不做回复） 已抄送 02/05 09:36;
已抄送 | 谢芳 已抄送 02/05 09:36;
已抄送 | 线上督导-鹿世鸣-督导部 已抄送 02/05 09:36;
已同意 | 李婕 已同意 02/05 09:52;
已同意 | 杨文慧 已同意 02/05 10:00;
已同意 | 施工监理-范钟欣-13817733545 已同意 02/05 10:06;
已同意 | 刘崇宇-18616022203-督导部 已同意 02/05 14:55;
已同意 | 蔡文佳-18916500662-线下运营部 已同意 02/05 15:16;
已同意 | 线下堂食助理-婷婷 已同意 02/05 15:21;
已同意 | 单玮-13816935059-督导部 已同意 02/05 16:51;
已抄送 | 卢家豪 已抄送 02/05 16:51;
已抄送 | 抖音&amp;快手-周幂-17521714387 已抄送 02/05 16:51;
已同意 | 苏磊 已同意 02/05 16:52;
已抄送 | 翁嘉隆-线上运营总监-13611699917 已抄送 02/05 16:52;
已同意 | 陈宇航-线上助理-18350349892 门店换证不重新建店 已同意 02/05 17:20;
已抄送 | 谢芳 已抄送 02/05 17:20;
已抄送 | 黄琪艳 已抄送 02/05 17:20;
已抄送 | 王京海 已抄送 02/05 17:20</t>
  </si>
  <si>
    <t>漕河泾店</t>
  </si>
  <si>
    <t>已抄送 | 线上督导服务号-如有异议请联系区域经理（此账号不做回复） 已抄送 02/05 17:03;
已抄送 | 谢芳 已抄送 02/05 17:03;
已抄送 | 线上督导-鹿世鸣-督导部 已抄送 02/05 17:03;
已同意 | 李婕 已同意 02/06 15:35;
已同意 | 杨文慧 已同意 02/06 16:47;
已同意 | 施工监理-范钟欣-13817733545 已同意 02/06 17:03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</si>
</sst>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1"/>
      <color theme="1"/>
      <name val="宋体"/>
      <charset val="134"/>
    </font>
    <font>
      <sz val="10"/>
      <color rgb="FF7030A0"/>
      <name val="宋体"/>
      <charset val="134"/>
    </font>
    <font>
      <sz val="10"/>
      <color rgb="FF000000"/>
      <name val="宋体"/>
      <charset val="134"/>
    </font>
    <font>
      <sz val="10"/>
      <color rgb="FF843C0B"/>
      <name val="宋体"/>
      <charset val="134"/>
    </font>
    <font>
      <sz val="10"/>
      <color rgb="FF0070C0"/>
      <name val="宋体"/>
      <charset val="134"/>
    </font>
    <font>
      <sz val="10"/>
      <color rgb="FFFF0000"/>
      <name val="宋体"/>
      <charset val="134"/>
    </font>
    <font>
      <sz val="10"/>
      <color rgb="FF0000FF"/>
      <name val="宋体"/>
      <charset val="134"/>
    </font>
    <font>
      <sz val="10"/>
      <color rgb="FF00B050"/>
      <name val="宋体"/>
      <charset val="134"/>
    </font>
    <font>
      <sz val="10"/>
      <color rgb="FFFF0593"/>
      <name val="宋体"/>
      <charset val="134"/>
    </font>
    <font>
      <sz val="10"/>
      <color rgb="FF417FF9"/>
      <name val="宋体"/>
      <charset val="134"/>
    </font>
    <font>
      <sz val="8"/>
      <color rgb="FF000000"/>
      <name val="宋体"/>
      <charset val="134"/>
    </font>
    <font>
      <sz val="10"/>
      <name val="等线 (正文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23" fillId="12" borderId="5" applyNumberFormat="0" applyAlignment="0" applyProtection="0">
      <alignment vertical="center"/>
    </xf>
    <xf numFmtId="0" fontId="24" fillId="12" borderId="4" applyNumberFormat="0" applyAlignment="0" applyProtection="0">
      <alignment vertical="center"/>
    </xf>
    <xf numFmtId="0" fontId="25" fillId="13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58" fontId="4" fillId="3" borderId="0" xfId="0" applyNumberFormat="1" applyFont="1" applyFill="1" applyAlignment="1">
      <alignment horizontal="center" vertical="center" wrapText="1"/>
    </xf>
    <xf numFmtId="58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6" borderId="0" xfId="0" applyFont="1" applyFill="1" applyAlignment="1" applyProtection="1">
      <alignment horizontal="center" vertical="center" wrapText="1"/>
      <protection locked="0"/>
    </xf>
    <xf numFmtId="58" fontId="4" fillId="0" borderId="0" xfId="0" applyNumberFormat="1" applyFont="1" applyAlignment="1" applyProtection="1">
      <alignment horizontal="center" vertical="center" wrapText="1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7" fillId="6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 wrapText="1"/>
    </xf>
    <xf numFmtId="58" fontId="4" fillId="0" borderId="0" xfId="0" applyNumberFormat="1" applyFont="1" applyAlignment="1" applyProtection="1">
      <alignment horizontal="center" vertical="center"/>
      <protection locked="0"/>
    </xf>
    <xf numFmtId="14" fontId="4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13" fillId="0" borderId="0" xfId="0" applyNumberFormat="1" applyFont="1" applyFill="1" applyAlignment="1"/>
    <xf numFmtId="0" fontId="13" fillId="0" borderId="0" xfId="0" applyFont="1" applyFill="1" applyAlignment="1"/>
    <xf numFmtId="0" fontId="13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447;&#19978;&#24314;&#24215;&#23457;&#2520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线上建店审批明细"/>
      <sheetName val="智能表1"/>
    </sheetNames>
    <sheetDataSet>
      <sheetData sheetId="0">
        <row r="1">
          <cell r="A1" t="str">
            <v>门店编码</v>
          </cell>
          <cell r="B1" t="str">
            <v>当前审批状态</v>
          </cell>
        </row>
        <row r="1">
          <cell r="D1" t="str">
            <v>门店名称</v>
          </cell>
          <cell r="E1" t="str">
            <v>审批流程</v>
          </cell>
        </row>
        <row r="2">
          <cell r="A2">
            <v>2436</v>
          </cell>
          <cell r="B2" t="str">
            <v>已通过</v>
          </cell>
          <cell r="C2">
            <v>2436</v>
          </cell>
          <cell r="D2" t="str">
            <v>体育公园店</v>
          </cell>
          <cell r="E2" t="str">
            <v>已抄送 | 线下堂食助理-婷婷 已抄送 01/08 10:16;
已抄送 | 蔡文佳-18916500662-线下运营部 已抄送 01/08 10:16;
已抄送 | 谢芳 已抄送 01/08 10:16;
已同意 | 贺龙娇 已同意 01/08 15:30;
已同意 | 杨文慧 已同意 01/08 15:43;
已同意 | 施工监理-范钟欣-13817733545 已同意 01/08 15:57;
已同意 | 王伟清 已同意 01/08 15:57;
已同意 | 刘崇宇-18616022203-督导部 已同意 01/08 18:27;
已同意 | 蔡文佳-18916500662-线下运营部 已同意 01/09 16:47;
已同意 | 线下堂食助理-婷婷 已同意 01/09 16:49;
已同意 | 单玮-13816935059-督导部 已同意 01/09 18:37;
已抄送 | 卢家豪 已抄送 01/09 18:37;
已抄送 | 抖音&amp;快手-周幂-17521714387 已抄送 01/09 18:37;
已同意 | 苏磊 已同意 01/09 18:41;
已同意 | 陈宇航-线上助理-18350349892 三平台建店完成 已同意 01/14 14:51;
已抄送 | 谢芳 已抄送 01/14 14:51;
已抄送 | 黄琪艳 已抄送 01/14 14:51;
已抄送 | 王京海 已抄送 01/14 14:51</v>
          </cell>
        </row>
        <row r="3">
          <cell r="A3">
            <v>2434</v>
          </cell>
          <cell r="B3" t="str">
            <v>已通过</v>
          </cell>
          <cell r="C3">
            <v>2434</v>
          </cell>
          <cell r="D3" t="str">
            <v>石首新天地店</v>
          </cell>
          <cell r="E3" t="str">
            <v>已抄送 | 线下堂食助理-婷婷 已抄送 01/09 14:25;
已抄送 | 蔡文佳-18916500662-线下运营部 已抄送 01/09 14:25;
已抄送 | 谢芳 已抄送 01/09 14:25;
已抄送 | 线上督导-鹿世鸣-督导部 已抄送 01/09 14:25;
已同意 | 贺龙娇 已同意 01/10 17:33;
已同意 | 杨文慧 已同意 01/10 17:45;
已同意 | 施工监理-范钟欣-13817733545 已同意 01/10 17:51;
已同意 | 王伟清 已同意 01/12 10:19;
已同意 | 刘崇宇-18616022203-督导部 已同意 01/12 17:41;
已同意 | 蔡文佳-18916500662-线下运营部 已同意 01/13 11:37;
已同意 | 线下堂食助理-婷婷 已同意 01/13 11:43;
已同意 | 单玮-13816935059-督导部 已同意 01/13 14:28;
已抄送 | 卢家豪 已抄送 01/13 14:28;
已抄送 | 抖音&amp;快手-周幂-17521714387 已抄送 01/13 14:28;
已同意 | 苏磊 已同意 01/13 14:30;
已抄送 | 翁嘉隆-线上运营总监-13611699917 已抄送 01/13 14:30;
已同意 | 陈宇航-线上助理-18350349892 三平台建店完成 已同意 01/17 17:15;
已抄送 | 谢芳 已抄送 01/17 17:15;
已抄送 | 黄琪艳 已抄送 01/17 17:15;
已抄送 | 王京海 已抄送 01/17 17:15</v>
          </cell>
        </row>
        <row r="4">
          <cell r="A4">
            <v>2439</v>
          </cell>
          <cell r="B4" t="str">
            <v>已通过</v>
          </cell>
          <cell r="C4">
            <v>2439</v>
          </cell>
          <cell r="D4" t="str">
            <v>步行街店</v>
          </cell>
          <cell r="E4" t="str">
            <v>已抄送 | 线下堂食助理-婷婷 已抄送 01/09 14:27;
已抄送 | 蔡文佳-18916500662-线下运营部 已抄送 01/09 14:27;
已抄送 | 谢芳 已抄送 01/09 14:27;
已抄送 | 线上督导-鹿世鸣-督导部 已抄送 01/09 14:27;
已同意 | 贺龙娇 已同意 01/10 17:31;
已同意 | 杨文慧 已同意 01/10 17:45;
已同意 | 施工监理-范钟欣-13817733545 已同意 01/10 17:47;
已同意 | 王伟清 已同意 01/10 18:32;
已同意 | 刘崇宇-18616022203-督导部 已同意 01/10 20:59;
已同意 | 蔡文佳-18916500662-线下运营部 已同意 01/11 17:13;
已同意 | 线下堂食助理-婷婷 已同意 01/11 19:39;
已同意 | 单玮-13816935059-督导部 已同意 01/12 11:04;
已抄送 | 卢家豪 已抄送 01/12 11:04;
已抄送 | 抖音&amp;快手-周幂-17521714387 已抄送 01/12 11:04;
已同意 | 苏磊 已同意 01/12 11:05;
已抄送 | 翁嘉隆-线上运营总监-13611699917 已抄送 01/12 11:05;
已同意 | 陈宇航-线上助理-18350349892 三平台建店完成 已同意 01/17 17:14;
已抄送 | 谢芳 已抄送 01/17 17:14;
已抄送 | 黄琪艳 已抄送 01/17 17:14;
已抄送 | 王京海 已抄送 01/17 17:14</v>
          </cell>
        </row>
        <row r="5">
          <cell r="A5">
            <v>1547</v>
          </cell>
          <cell r="B5" t="str">
            <v>已通过</v>
          </cell>
          <cell r="C5">
            <v>1547</v>
          </cell>
          <cell r="D5" t="str">
            <v>长清大学城店</v>
          </cell>
          <cell r="E5" t="str">
            <v>已抄送 | 线下堂食助理-婷婷 已抄送 01/09 14:34;
已抄送 | 蔡文佳-18916500662-线下运营部 已抄送 01/09 14:34;
已抄送 | 谢芳 已抄送 01/09 14:34;
已抄送 | 线上督导-鹿世鸣-督导部 已抄送 01/09 14:34;
已转审 | 贺龙娇 已转审 01/10 17:26;
已同意 | 诸静逸 已同意 01/12 11:24;
已同意 | 杨文慧 已同意 01/12 11:25;
已同意 | 施工监理-范钟欣-13817733545 已同意 01/12 15:44;
已同意 | 王伟清 已同意 01/12 16:08;
已同意 | 刘崇宇-18616022203-督导部 已同意 01/12 17:41;
已同意 | 蔡文佳-18916500662-线下运营部 已同意 01/13 11:29;
已同意 | 线下堂食助理-婷婷 已同意 01/13 11:41;
已同意 | 单玮-13816935059-督导部 已同意 01/13 16:55;
已抄送 | 卢家豪 已抄送 01/13 16:55;
已抄送 | 抖音&amp;快手-周幂-17521714387 已抄送 01/13 16:55;
已同意 | 苏磊 已同意 01/13 16:56;
已抄送 | 翁嘉隆-线上运营总监-13611699917 已抄送 01/13 16:56;
已同意 | 陈宇航-线上助理-18350349892 三平台建店完成 已同意 01/17 17:16;
已抄送 | 谢芳 已抄送 01/17 17:16;
已抄送 | 黄琪艳 已抄送 01/17 17:16;
已抄送 | 王京海 已抄送 01/17 17:16</v>
          </cell>
        </row>
        <row r="6">
          <cell r="A6">
            <v>2446</v>
          </cell>
          <cell r="B6" t="str">
            <v>已通过</v>
          </cell>
          <cell r="C6">
            <v>2446</v>
          </cell>
          <cell r="D6" t="str">
            <v>横沥时代倾城店</v>
          </cell>
          <cell r="E6" t="str">
            <v>已抄送 | 线下堂食助理-婷婷 已抄送 01/09 14:35;
已抄送 | 蔡文佳-18916500662-线下运营部 已抄送 01/09 14:35;
已抄送 | 谢芳 已抄送 01/09 14:35;
已抄送 | 线上督导-鹿世鸣-督导部 已抄送 01/09 14:35;
已转审 | 贺龙娇 已转审 01/10 17:26;
已同意 | 诸静逸 已同意 01/12 12:28;
已同意 | 杨文慧 已同意 01/12 12:30;
已同意 | 施工监理-范钟欣-13817733545 已同意 01/12 15:51;
已同意 | 王伟清 已同意 01/12 16:09;
已同意 | 刘崇宇-18616022203-督导部 已同意 01/12 17:43;
已同意 | 蔡文佳-18916500662-线下运营部 已同意 01/13 11:28;
已同意 | 线下堂食助理-婷婷 已同意 01/13 11:41;
已同意 | 单玮-13816935059-督导部 已同意 01/13 16:55;
已抄送 | 卢家豪 已抄送 01/13 16:55;
已抄送 | 抖音&amp;快手-周幂-17521714387 已抄送 01/13 16:55;
已同意 | 苏磊 已同意 01/13 16:56;
已抄送 | 翁嘉隆-线上运营总监-13611699917 已抄送 01/13 16:56;
已同意 | 陈宇航-线上助理-18350349892 三平台建店完成 已同意 01/17 17:16;
已抄送 | 谢芳 已抄送 01/17 17:16;
已抄送 | 黄琪艳 已抄送 01/17 17:16;
已抄送 | 王京海 已抄送 01/17 17:16</v>
          </cell>
        </row>
        <row r="7">
          <cell r="A7">
            <v>2412</v>
          </cell>
          <cell r="B7" t="str">
            <v>已通过</v>
          </cell>
          <cell r="C7">
            <v>2412</v>
          </cell>
          <cell r="D7" t="str">
            <v>北大街店</v>
          </cell>
          <cell r="E7" t="str">
            <v>已抄送 | 线上督导-鹿世鸣-督导部 已抄送 01/10 10:13;
已同意 | 贺龙娇 已同意 01/10 16:19;
已同意 | 杨文慧 已同意 01/10 17:23;
已同意 | 施工监理-范钟欣-13817733545 已同意 01/10 17:31;
已同意 | 王伟清 已同意 01/10 17:35;
已同意 | 刘崇宇-18616022203-督导部 已同意 01/10 20:59;
已同意 | 蔡文佳-18916500662-线下运营部 已同意 01/11 13:36;
已同意 | 线下堂食助理-婷婷 已同意 01/11 19:36;
已同意 | 单玮-13816935059-督导部 已同意 01/13 10:58;
已抄送 | 卢家豪 已抄送 01/13 10:58;
已抄送 | 抖音&amp;快手-周幂-17521714387 已抄送 01/13 10:58;
已同意 | 苏磊 已同意 01/13 10:58;
已抄送 | 翁嘉隆-线上运营总监-13611699917 已抄送 01/13 10:58;
已同意 | 陈宇航-线上助理-18350349892 三平台建店完成 已同意 01/17 17:15;
已抄送 | 谢芳 已抄送 01/17 17:15;
已抄送 | 黄琪艳 已抄送 01/17 17:15;
已抄送 | 王京海 已抄送 01/17 17:15</v>
          </cell>
        </row>
        <row r="8">
          <cell r="A8">
            <v>246</v>
          </cell>
          <cell r="B8" t="str">
            <v>已通过</v>
          </cell>
          <cell r="C8">
            <v>246</v>
          </cell>
          <cell r="D8" t="str">
            <v>爱联店</v>
          </cell>
          <cell r="E8" t="str">
            <v>已抄送 | 线上督导-鹿世鸣-督导部 已抄送 01/10 10:18;
已转审 | 贺龙娇 已转审 01/10 16:12;
已同意 | 诸静逸 已同意 01/12 12:26;
已同意 | 杨文慧 已同意 01/12 12:27;
已同意 | 施工监理-范钟欣-13817733545 已同意 01/12 15:52;
已同意 | 王伟清 已同意 01/12 16:08;
已同意 | 刘崇宇-18616022203-督导部 已同意 01/15 13:47;
已同意 | 蔡文佳-18916500662-线下运营部 已同意 01/15 14:38;
已同意 | 线下堂食助理-婷婷 已同意 01/15 15:34;
已同意 | 单玮-13816935059-督导部 已同意 01/15 17:14;
已抄送 | 卢家豪 已抄送 01/15 17:14;
已抄送 | 抖音&amp;快手-周幂-17521714387 已抄送 01/15 17:14;
已同意 | 苏磊 已同意 01/15 17:15;
已抄送 | 翁嘉隆-线上运营总监-13611699917 已抄送 01/15 17:15;
已同意 | 陈宇航-线上助理-18350349892 三平台建店完成 已同意 01/27 16:27;
已抄送 | 谢芳 已抄送 01/27 16:27;
已抄送 | 黄琪艳 已抄送 01/27 16:27;
已抄送 | 王京海 已抄送 01/27 16:27</v>
          </cell>
        </row>
        <row r="9">
          <cell r="A9">
            <v>2301</v>
          </cell>
          <cell r="B9" t="str">
            <v>已通过</v>
          </cell>
          <cell r="C9">
            <v>2301</v>
          </cell>
          <cell r="D9" t="str">
            <v>光谷汇富店</v>
          </cell>
          <cell r="E9" t="str">
            <v>已抄送 | 线上督导-鹿世鸣-督导部 已抄送 01/10 10:21;
已同意 | 贺龙娇 已同意 01/10 16:06;
已同意 | 杨文慧 已同意 01/10 17:23;
已同意 | 施工监理-范钟欣-13817733545 已同意 01/10 17:28;
已同意 | 王伟清 已同意 01/10 17:30;
已同意 | 刘崇宇-18616022203-督导部 已同意 01/10 20:59;
已同意 | 蔡文佳-18916500662-线下运营部 已同意 01/11 17:14;
已同意 | 线下堂食助理-婷婷 已同意 01/11 19:38;
已同意 | 单玮-13816935059-督导部 已同意 01/12 11:04;
已抄送 | 卢家豪 已抄送 01/12 11:04;
已抄送 | 抖音&amp;快手-周幂-17521714387 已抄送 01/12 11:04;
已同意 | 苏磊 已同意 01/12 11:05;
已抄送 | 翁嘉隆-线上运营总监-13611699917 已抄送 01/12 11:05;
已同意 | 陈宇航-线上助理-18350349892 三平台建店完成 已同意 01/17 17:13;
已抄送 | 谢芳 已抄送 01/17 17:13;
已抄送 | 黄琪艳 已抄送 01/17 17:13;
已抄送 | 王京海 已抄送 01/17 17:13</v>
          </cell>
        </row>
        <row r="10">
          <cell r="A10">
            <v>2328</v>
          </cell>
          <cell r="B10" t="str">
            <v>已通过</v>
          </cell>
          <cell r="C10">
            <v>2328</v>
          </cell>
          <cell r="D10" t="str">
            <v>海雅缤纷城店</v>
          </cell>
          <cell r="E10" t="str">
            <v>已抄送 | 线上督导-鹿世鸣-督导部 已抄送 01/10 17:15;
已同意 | 贺龙娇 已同意 01/10 17:33;
已同意 | 杨文慧 已同意 01/10 17:45;
已同意 | 施工监理-范钟欣-13817733545 已同意 01/10 17:50;
已同意 | 王伟清 已同意 01/12 10:18;
已同意 | 刘崇宇-18616022203-督导部 已同意 01/12 17:42;
已同意 | 蔡文佳-18916500662-线下运营部 已同意 01/13 11:31;
已同意 | 线下堂食助理-婷婷 已同意 01/13 11:42;
已同意 | 单玮-13816935059-督导部 已同意 01/13 16:55;
已抄送 | 卢家豪 已抄送 01/13 16:55;
已抄送 | 抖音&amp;快手-周幂-17521714387 已抄送 01/13 16:55;
已同意 | 苏磊 已同意 01/13 16:56;
已抄送 | 翁嘉隆-线上运营总监-13611699917 已抄送 01/13 16:56;
已同意 | 陈宇航-线上助理-18350349892 三平台建店完成 已同意 01/17 17:16;
已抄送 | 谢芳 已抄送 01/17 17:16;
已抄送 | 黄琪艳 已抄送 01/17 17:16;
已抄送 | 王京海 已抄送 01/17 17:16</v>
          </cell>
        </row>
        <row r="11">
          <cell r="A11">
            <v>1357</v>
          </cell>
          <cell r="B11" t="str">
            <v>已通过</v>
          </cell>
          <cell r="C11">
            <v>1357</v>
          </cell>
          <cell r="D11" t="str">
            <v>武穴影剧院店</v>
          </cell>
          <cell r="E11" t="str">
            <v>已抄送 | 线上督导-鹿世鸣-督导部 已抄送 01/10 17:50;
已同意 | 诸静逸 已同意 01/12 13:28;
已同意 | 杨文慧 已同意 01/12 13:30;
已同意 | 施工监理-范钟欣-13817733545 已同意 01/12 15:50;
已同意 | 王伟清 已同意 01/12 16:09;
已同意 | 刘崇宇-18616022203-督导部 已同意 01/13 17:38;
已同意 | 蔡文佳-18916500662-线下运营部 已同意 01/13 21:15;
已同意 | 线下堂食助理-婷婷 已同意 01/14 10:25;
已同意 | 单玮-13816935059-督导部 已同意 01/14 12:34;
已抄送 | 卢家豪 已抄送 01/14 12:34;
已抄送 | 抖音&amp;快手-周幂-17521714387 已抄送 01/14 12:34;
已同意 | 苏磊 已同意 01/14 13:27;
已抄送 | 翁嘉隆-线上运营总监-13611699917 已抄送 01/14 13:27;
已同意 | 陈宇航-线上助理-18350349892 三平台建店完成 已同意 01/20 18:46;
已抄送 | 谢芳 已抄送 01/20 18:46;
已抄送 | 黄琪艳 已抄送 01/20 18:46;
已抄送 | 王京海 已抄送 01/20 18:46</v>
          </cell>
        </row>
        <row r="12">
          <cell r="A12">
            <v>715</v>
          </cell>
          <cell r="B12" t="str">
            <v>已通过</v>
          </cell>
          <cell r="C12">
            <v>715</v>
          </cell>
          <cell r="D12" t="str">
            <v>平潭店</v>
          </cell>
          <cell r="E12" t="str">
            <v>已抄送 | 线上督导-鹿世鸣-督导部 已抄送 01/10 17:58;
已同意 | 诸静逸 已同意 01/12 13:30;
已同意 | 杨文慧 已同意 01/12 13:50;
已同意 | 施工监理-范钟欣-13817733545 已同意 01/12 15:49;
已同意 | 王伟清 已同意 01/12 16:09;
已同意 | 刘崇宇-18616022203-督导部 已同意 01/13 17:37;
已同意 | 蔡文佳-18916500662-线下运营部 已同意 01/13 21:09;
已同意 | 线下堂食助理-婷婷 已同意 01/14 10:23;
已同意 | 单玮-13816935059-督导部 已同意 01/14 17:16;
已抄送 | 卢家豪 已抄送 01/14 17:16;
已抄送 | 抖音&amp;快手-周幂-17521714387 已抄送 01/14 17:16;
已同意 | 苏磊 已同意 01/14 17:26;
已抄送 | 翁嘉隆-线上运营总监-13611699917 已抄送 01/14 17:26;
已同意 | 陈宇航-线上助理-18350349892 只是换证 已同意 01/19 17:10;
已抄送 | 谢芳 已抄送 01/19 17:10;
已抄送 | 黄琪艳 已抄送 01/19 17:10;
已抄送 | 王京海 已抄送 01/19 17:10</v>
          </cell>
        </row>
        <row r="13">
          <cell r="A13">
            <v>2463</v>
          </cell>
          <cell r="B13" t="str">
            <v>已通过</v>
          </cell>
          <cell r="C13">
            <v>2463</v>
          </cell>
          <cell r="D13" t="str">
            <v>王府井店</v>
          </cell>
          <cell r="E13" t="str">
            <v>已抄送 | 线上督导-鹿世鸣-督导部 已抄送 01/10 17:58;
已同意 | 诸静逸 已同意 01/12 13:32;
已同意 | 杨文慧 已同意 01/12 13:50;
已同意 | 施工监理-范钟欣-13817733545 已同意 01/12 15:48;
已同意 | 王伟清 已同意 01/12 16:09;
已同意 | 刘崇宇-18616022203-督导部 已同意 01/13 17:37;
已同意 | 蔡文佳-18916500662-线下运营部 已同意 01/13 21:10;
已同意 | 线下堂食助理-婷婷 已同意 01/14 10:23;
已同意 | 单玮-13816935059-督导部 已同意 01/14 14:07;
已抄送 | 卢家豪 已抄送 01/14 14:07;
已抄送 | 抖音&amp;快手-周幂-17521714387 已抄送 01/14 14:07;
已同意 | 苏磊 已同意 01/14 14:12;
已抄送 | 翁嘉隆-线上运营总监-13611699917 已抄送 01/14 14:12;
已同意 | 陈宇航-线上助理-18350349892 三平台建店完成 已同意 01/19 17:08;
已抄送 | 谢芳 已抄送 01/19 17:08;
已抄送 | 黄琪艳 已抄送 01/19 17:08;
已抄送 | 王京海 已抄送 01/19 17:08</v>
          </cell>
        </row>
        <row r="14">
          <cell r="A14">
            <v>201</v>
          </cell>
          <cell r="B14" t="str">
            <v>已通过</v>
          </cell>
          <cell r="C14">
            <v>201</v>
          </cell>
          <cell r="D14" t="str">
            <v>嵊州店</v>
          </cell>
          <cell r="E14" t="str">
            <v>已抄送 | 线上督导-鹿世鸣-督导部 已抄送 01/10 18:16;
已同意 | 诸静逸 已同意 01/12 13:36;
已同意 | 杨文慧 已同意 01/12 13:50;
已同意 | 施工监理-范钟欣-13817733545 已同意 01/12 15:47;
已同意 | 王伟清 已同意 01/12 16:09;
已同意 | 刘崇宇-18616022203-督导部 已同意 01/13 17:39;
已同意 | 蔡文佳-18916500662-线下运营部 已同意 01/13 21:08;
已同意 | 线下堂食助理-婷婷 已同意 01/14 10:22;
已同意 | 单玮-13816935059-督导部 已同意 01/14 17:16;
已抄送 | 卢家豪 已抄送 01/14 17:16;
已抄送 | 抖音&amp;快手-周幂-17521714387 已抄送 01/14 17:16;
已同意 | 苏磊 已同意 01/14 17:26;
已抄送 | 翁嘉隆-线上运营总监-13611699917 已抄送 01/14 17:26;
已同意 | 陈宇航-线上助理-18350349892 只是换证 已同意 01/19 17:10;
已抄送 | 谢芳 已抄送 01/19 17:10;
已抄送 | 黄琪艳 已抄送 01/19 17:10;
已抄送 | 王京海 已抄送 01/19 17:10</v>
          </cell>
        </row>
        <row r="15">
          <cell r="A15">
            <v>2471</v>
          </cell>
          <cell r="B15" t="str">
            <v>已通过</v>
          </cell>
          <cell r="C15">
            <v>2471</v>
          </cell>
          <cell r="D15" t="str">
            <v>淇滨中学店</v>
          </cell>
          <cell r="E15" t="str">
            <v>已抄送 | 线上督导-鹿世鸣-督导部 已抄送 01/11 11:16;
已同意 | 诸静逸 已同意 01/12 13:38;
已同意 | 杨文慧 已同意 01/12 13:51;
已同意 | 施工监理-范钟欣-13817733545 已同意 01/12 15:46;
已同意 | 王伟清 已同意 01/12 16:09;
已同意 | 刘崇宇-18616022203-督导部 已同意 01/12 17:40;
已同意 | 蔡文佳-18916500662-线下运营部 已同意 01/13 11:30;
已同意 | 线下堂食助理-婷婷 已同意 01/13 11:42;
已同意 | 单玮-13816935059-督导部 已同意 01/13 18:49;
已抄送 | 卢家豪 已抄送 01/13 18:49;
已抄送 | 抖音&amp;快手-周幂-17521714387 已抄送 01/13 18:49;
已同意 | 苏磊 已同意 01/13 18:49;
已抄送 | 翁嘉隆-线上运营总监-13611699917 已抄送 01/13 18:49;
已同意 | 陈宇航-线上助理-18350349892 三平台建店完成 已同意 01/17 17:16;
已抄送 | 谢芳 已抄送 01/17 17:16;
已抄送 | 黄琪艳 已抄送 01/17 17:16;
已抄送 | 王京海 已抄送 01/17 17:16</v>
          </cell>
        </row>
        <row r="16">
          <cell r="A16">
            <v>2303</v>
          </cell>
          <cell r="B16" t="str">
            <v>已通过</v>
          </cell>
          <cell r="C16">
            <v>2303</v>
          </cell>
          <cell r="D16" t="str">
            <v>泛悦南国广场店</v>
          </cell>
          <cell r="E16" t="str">
            <v>已抄送 | 线上督导-鹿世鸣-督导部 已抄送 01/11 11:18;
已同意 | 贺龙娇 已同意 01/16 12:18;
已同意 | 杨文慧 已同意 01/16 13:31;
已同意 | 施工监理-范钟欣-13817733545 已同意 01/16 14:32;
已同意 | 王伟清 已同意 01/16 14:41;
已同意 | 刘崇宇-18616022203-督导部 已同意 01/19 15:41;
已同意 | 蔡文佳-18916500662-线下运营部 已同意 01/19 19:15;
已同意 | 线下堂食助理-婷婷 已同意 01/20 10:22;
已同意 | 单玮-13816935059-督导部 已同意 01/20 11:24;
已抄送 | 卢家豪 已抄送 01/20 11:24;
已抄送 | 抖音&amp;快手-周幂-17521714387 已抄送 01/20 11:24;
已同意 | 苏磊 已同意 01/20 11:30;
已抄送 | 翁嘉隆-线上运营总监-13611699917 已抄送 01/20 11:30;
已同意 | 陈宇航-线上助理-18350349892 美团饿了么平台建店完成，京东资质被盗用已提交处理 已同意 01/23 17:34;
已抄送 | 谢芳 已抄送 01/23 17:34;
已抄送 | 黄琪艳 已抄送 01/23 17:34;
已抄送 | 王京海 已抄送 01/23 17:34</v>
          </cell>
        </row>
        <row r="17">
          <cell r="A17">
            <v>2465</v>
          </cell>
          <cell r="B17" t="str">
            <v>已通过</v>
          </cell>
          <cell r="C17">
            <v>2465</v>
          </cell>
          <cell r="D17" t="str">
            <v>绿色新城店</v>
          </cell>
          <cell r="E17" t="str">
            <v>已抄送 | 线上督导-鹿世鸣-督导部 已抄送 01/11 11:21;
已同意 | 诸静逸 已同意 01/12 13:40;
已同意 | 杨文慧 已同意 01/12 13:51;
已同意 | 施工监理-范钟欣-13817733545 已同意 01/12 15:45;
已同意 | 王伟清 已同意 01/12 16:10;
已同意 | 刘崇宇-18616022203-督导部 已同意 01/12 17:40;
已同意 | 蔡文佳-18916500662-线下运营部 已同意 01/13 11:33;
已同意 | 线下堂食助理-婷婷 已同意 01/13 11:43;
已同意 | 单玮-13816935059-督导部 已同意 01/13 14:28;
已抄送 | 卢家豪 已抄送 01/13 14:28;
已抄送 | 抖音&amp;快手-周幂-17521714387 已抄送 01/13 14:28;
已同意 | 苏磊 已同意 01/13 14:30;
已抄送 | 翁嘉隆-线上运营总监-13611699917 已抄送 01/13 14:30;
已同意 | 陈宇航-线上助理-18350349892 三平台建店完成 已同意 01/17 17:15;
已抄送 | 谢芳 已抄送 01/17 17:15;
已抄送 | 黄琪艳 已抄送 01/17 17:15;
已抄送 | 王京海 已抄送 01/17 17:15</v>
          </cell>
        </row>
        <row r="18">
          <cell r="A18">
            <v>2241</v>
          </cell>
          <cell r="B18" t="str">
            <v>已通过</v>
          </cell>
          <cell r="C18">
            <v>2241</v>
          </cell>
          <cell r="D18" t="str">
            <v>未来石万达店</v>
          </cell>
          <cell r="E18" t="str">
            <v>已抄送 | 线上督导-鹿世鸣-督导部 已抄送 01/11 11:23;
已同意 | 贺龙娇 已同意 01/13 14:49;
已同意 | 杨文慧 已同意 01/13 14:50;
已同意 | 施工监理-范钟欣-13817733545 已同意 01/13 15:06;
已同意 | 王伟清 已同意 01/13 15:08;
已同意 | 刘崇宇-18616022203-督导部 已同意 01/13 17:36;
已同意 | 蔡文佳-18916500662-线下运营部 已同意 01/13 17:59;
已同意 | 线下堂食助理-婷婷 已同意 01/13 18:01;
已同意 | 单玮-13816935059-督导部 已同意 01/13 18:49;
已抄送 | 卢家豪 已抄送 01/13 18:49;
已抄送 | 抖音&amp;快手-周幂-17521714387 已抄送 01/13 18:49;
已同意 | 苏磊 已同意 01/13 18:49;
已抄送 | 翁嘉隆-线上运营总监-13611699917 已抄送 01/13 18:49;
已同意 | 陈宇航-线上助理-18350349892 三平台建店完成 已同意 01/17 17:17;
已抄送 | 谢芳 已抄送 01/17 17:17;
已抄送 | 黄琪艳 已抄送 01/17 17:17;
已抄送 | 王京海 已抄送 01/17 17:17</v>
          </cell>
        </row>
        <row r="19">
          <cell r="A19">
            <v>2385</v>
          </cell>
          <cell r="B19" t="str">
            <v>已通过</v>
          </cell>
          <cell r="C19">
            <v>2385</v>
          </cell>
          <cell r="D19" t="str">
            <v>和谐广场店</v>
          </cell>
          <cell r="E19" t="str">
            <v>已抄送 | 线上督导-鹿世鸣-督导部 已抄送 01/11 16:13;
已同意 | 贺龙娇 已同意 01/12 16:40;
已同意 | 杨文慧 已同意 01/12 17:15;
已同意 | 施工监理-范钟欣-13817733545 已同意 01/12 17:39;
已同意 | 王伟清 已同意 01/13 10:01;
已同意 | 刘崇宇-18616022203-督导部 已同意 01/13 17:42;
已同意 | 蔡文佳-18916500662-线下运营部 已同意 01/13 21:12;
已同意 | 线下堂食助理-婷婷 已同意 01/14 10:24;
已同意 | 单玮-13816935059-督导部 已同意 01/14 18:33;
已抄送 | 卢家豪 已抄送 01/14 18:33;
已抄送 | 抖音&amp;快手-周幂-17521714387 已抄送 01/14 18:33;
已同意 | 苏磊 已同意 01/14 18:33;
已抄送 | 翁嘉隆-线上运营总监-13611699917 已抄送 01/14 18:33;
已同意 | 陈宇航-线上助理-18350349892 三平台建店完成 已同意 01/19 17:08;
已抄送 | 谢芳 已抄送 01/19 17:08;
已抄送 | 黄琪艳 已抄送 01/19 17:08;
已抄送 | 王京海 已抄送 01/19 17:08</v>
          </cell>
        </row>
        <row r="20">
          <cell r="A20">
            <v>2396</v>
          </cell>
          <cell r="B20" t="str">
            <v>已通过</v>
          </cell>
          <cell r="C20">
            <v>2396</v>
          </cell>
          <cell r="D20" t="str">
            <v>盛华里店</v>
          </cell>
          <cell r="E20" t="str">
            <v>已抄送 | 线上督导-鹿世鸣-督导部 已抄送 01/12 09:33;
已同意 | 贺龙娇 已同意 01/14 15:38;
已同意 | 杨文慧 已同意 01/14 15:52;
已同意 | 施工监理-范钟欣-13817733545 已同意 01/14 17:34;
已同意 | 王伟清 已同意 01/14 17:50;
已同意 | 刘崇宇-18616022203-督导部 已同意 01/15 13:45;
已同意 | 蔡文佳-18916500662-线下运营部 已同意 01/15 14:56;
已同意 | 线下堂食助理-婷婷 已同意 01/15 15:40;
已同意 | 单玮-13816935059-督导部 已同意 01/15 17:15;
已抄送 | 卢家豪 已抄送 01/15 17:15;
已抄送 | 抖音&amp;快手-周幂-17521714387 已抄送 01/15 17:15;
已同意 | 苏磊 已同意 01/15 17:15;
已抄送 | 翁嘉隆-线上运营总监-13611699917 已抄送 01/15 17:15;
已同意 | 陈宇航-线上助理-18350349892 三平台建店完成 已同意 01/19 17:11;
已抄送 | 谢芳 已抄送 01/19 17:11;
已抄送 | 黄琪艳 已抄送 01/19 17:11;
已抄送 | 王京海 已抄送 01/19 17:11</v>
          </cell>
        </row>
        <row r="21">
          <cell r="A21">
            <v>2377</v>
          </cell>
          <cell r="B21" t="str">
            <v>已通过</v>
          </cell>
          <cell r="C21">
            <v>2377</v>
          </cell>
          <cell r="D21" t="str">
            <v>朱辛庄店</v>
          </cell>
          <cell r="E21" t="str">
            <v>已抄送 | 线上督导服务号-如有异议请联系区域经理（此账号不做回复） 已抄送 01/12 11:18;
已抄送 | 线上督导-鹿世鸣-督导部 已抄送 01/12 11:18;
已同意 | 贺龙娇 已同意 01/12 16:22;
已同意 | 杨文慧 已同意 01/12 16:25;
已同意 | 施工监理-范钟欣-13817733545 已同意 01/12 16:42;
已同意 | 王伟清 已同意 01/12 18:25;
已同意 | 刘崇宇-18616022203-督导部 已同意 01/13 17:36;
已同意 | 蔡文佳-18916500662-线下运营部 已同意 01/13 21:11;
已同意 | 线下堂食助理-婷婷 已同意 01/14 10:24;
已同意 | 单玮-13816935059-督导部 已同意 01/14 14:07;
已抄送 | 卢家豪 已抄送 01/14 14:07;
已抄送 | 抖音&amp;快手-周幂-17521714387 已抄送 01/14 14:07;
已同意 | 苏磊 已同意 01/14 22:01;
已抄送 | 翁嘉隆-线上运营总监-13611699917 已抄送 01/14 22:01;
已同意 | 陈宇航-线上助理-18350349892 饿了么建店完成，老板要求其余平台年后再上 已同意 01/19 17:10;
已抄送 | 谢芳 已抄送 01/19 17:10;
已抄送 | 黄琪艳 已抄送 01/19 17:10;
已抄送 | 王京海 已抄送 01/19 17:10</v>
          </cell>
        </row>
        <row r="22">
          <cell r="A22">
            <v>2481</v>
          </cell>
          <cell r="B22" t="str">
            <v>已通过</v>
          </cell>
          <cell r="C22">
            <v>2481</v>
          </cell>
          <cell r="D22" t="str">
            <v>瑞金文化广场店</v>
          </cell>
          <cell r="E22" t="str">
            <v>已抄送 | 线上督导服务号-如有异议请联系区域经理（此账号不做回复） 已抄送 01/12 11:31;
已抄送 | 线上督导-鹿世鸣-督导部 已抄送 01/12 11:31;
已同意 | 诸静逸 已同意 01/12 11:41;
已同意 | 谢珍珍 已同意 01/12 11:44;
已同意 | 施工监理-范钟欣-13817733545 已同意 01/12 15:52;
已同意 | 王伟清 已同意 01/12 16:08;
已同意 | 刘崇宇-18616022203-督导部 已同意 01/12 17:44;
已同意 | 蔡文佳-18916500662-线下运营部 已同意 01/13 11:26;
已同意 | 线下堂食助理-婷婷 已同意 01/13 11:41;
已同意 | 单玮-13816935059-督导部 已同意 01/13 16:55;
已抄送 | 卢家豪 已抄送 01/13 16:55;
已抄送 | 抖音&amp;快手-周幂-17521714387 已抄送 01/13 16:55;
已同意 | 苏磊 已同意 01/13 16:55;
已抄送 | 翁嘉隆-线上运营总监-13611699917 已抄送 01/13 16:55;
已同意 | 陈宇航-线上助理-18350349892 三平台建店完成 已同意 01/17 17:15;
已抄送 | 谢芳 已抄送 01/17 17:15;
已抄送 | 黄琪艳 已抄送 01/17 17:15;
已抄送 | 王京海 已抄送 01/17 17:15</v>
          </cell>
        </row>
        <row r="23">
          <cell r="A23">
            <v>2473</v>
          </cell>
          <cell r="B23" t="str">
            <v>已通过</v>
          </cell>
          <cell r="C23">
            <v>2473</v>
          </cell>
          <cell r="D23" t="str">
            <v>金利来店</v>
          </cell>
          <cell r="E23" t="str">
            <v>已抄送 | 线上督导服务号-如有异议请联系区域经理（此账号不做回复） 已抄送 01/12 13:45;
已抄送 | 线上督导-鹿世鸣-督导部 已抄送 01/12 13:45;
已同意 | 贺龙娇 已同意 01/12 16:20;
已同意 | 杨文慧 已同意 01/12 16:21;
已同意 | 施工监理-范钟欣-13817733545 已同意 01/12 16:39;
已同意 | 王伟清 已同意 01/12 18:25;
已同意 | 刘崇宇-18616022203-督导部 已同意 01/13 17:39;
已同意 | 蔡文佳-18916500662-线下运营部 已同意 01/13 21:17;
已同意 | 线下堂食助理-婷婷 已同意 01/14 10:26;
已同意 | 单玮-13816935059-督导部 已同意 01/14 11:48;
已抄送 | 卢家豪 已抄送 01/14 11:48;
已抄送 | 抖音&amp;快手-周幂-17521714387 已抄送 01/14 11:48;
已同意 | 苏磊 已同意 01/14 11:51;
已抄送 | 翁嘉隆-线上运营总监-13611699917 已抄送 01/14 11:51;
已同意 | 陈宇航-线上助理-18350349892 三平台建店完成 已同意 01/23 16:36;
已抄送 | 谢芳 已抄送 01/23 16:36;
已抄送 | 黄琪艳 已抄送 01/23 16:36;
已抄送 | 王京海 已抄送 01/23 16:36</v>
          </cell>
        </row>
        <row r="24">
          <cell r="A24">
            <v>1425</v>
          </cell>
          <cell r="B24" t="str">
            <v>审批中</v>
          </cell>
          <cell r="C24">
            <v>1425</v>
          </cell>
          <cell r="D24" t="str">
            <v>东坑喜悦里店</v>
          </cell>
          <cell r="E24" t="str">
            <v>已抄送 | 线上督导服务号-如有异议请联系区域经理（此账号不做回复） 已抄送 01/12 14:27;
已抄送 | 线上督导-鹿世鸣-督导部 已抄送 01/12 14:27;
已同意 | 贺龙娇 已同意 01/16 12:17;
已同意 | 杨文慧 已同意 01/16 13:31;
已同意 | 施工监理-范钟欣-13817733545 已同意 01/19 18:02;
已同意 | 王伟清 已同意 01/19 18:27;
已同意 | 刘崇宇-18616022203-督导部 已同意 01/20 15:34;
已同意 | 蔡文佳-18916500662-线下运营部 已同意 01/20 21:16;
已同意 | 线下堂食助理-婷婷 已同意 01/21 10:08;
已同意 | 单玮-13816935059-督导部 已同意 01/21 17:45;
已抄送 | 卢家豪 已抄送 01/21 17:45;
已抄送 | 抖音&amp;快手-周幂-17521714387 已抄送 01/21 17:45;
已同意 | 苏磊 已同意 01/21 18:17;
已抄送 | 翁嘉隆-线上运营总监-13611699917 已抄送 01/21 18:17</v>
          </cell>
        </row>
        <row r="25">
          <cell r="A25">
            <v>2443</v>
          </cell>
          <cell r="B25" t="str">
            <v>已通过</v>
          </cell>
          <cell r="C25">
            <v>2443</v>
          </cell>
          <cell r="D25" t="str">
            <v>悠方天地店</v>
          </cell>
          <cell r="E25" t="str">
            <v>已抄送 | 线上督导服务号-如有异议请联系区域经理（此账号不做回复） 已抄送 01/12 15:09;
已抄送 | 线上督导-鹿世鸣-督导部 已抄送 01/12 15:09;
已同意 | 贺龙娇 已同意 01/12 16:14;
已同意 | 杨文慧 已同意 01/12 16:15;
已同意 | 施工监理-范钟欣-13817733545 已同意 01/13 12:08;
已同意 | 王伟清 已同意 01/13 12:20;
已同意 | 刘崇宇-18616022203-督导部 已同意 01/13 17:41;
已同意 | 蔡文佳-18916500662-线下运营部 已同意 01/22 22:09;
已同意 | 线下堂食助理-婷婷 已同意 01/23 09:56;
已同意 | 单玮-13816935059-督导部 已同意 01/23 18:50;
已抄送 | 卢家豪 已抄送 01/23 18:50;
已抄送 | 抖音&amp;快手-周幂-17521714387 已抄送 01/23 18:50;
已同意 | 苏磊 已同意 01/23 18:50;
已抄送 | 翁嘉隆-线上运营总监-13611699917 已抄送 01/23 18:50;
已同意 | 陈宇航-线上助理-18350349892 三平台建店完成 已同意 01/28 12:18;
已抄送 | 谢芳 已抄送 01/28 12:18;
已抄送 | 黄琪艳 已抄送 01/28 12:18;
已抄送 | 王京海 已抄送 01/28 12:18</v>
          </cell>
        </row>
        <row r="26">
          <cell r="A26">
            <v>2325</v>
          </cell>
          <cell r="B26" t="str">
            <v>已通过</v>
          </cell>
          <cell r="C26">
            <v>2325</v>
          </cell>
          <cell r="D26" t="str">
            <v>吾悦广场店</v>
          </cell>
          <cell r="E26" t="str">
            <v>已抄送 | 线上督导服务号-如有异议请联系区域经理（此账号不做回复） 已抄送 01/12 15:10;
已抄送 | 线上督导-鹿世鸣-督导部 已抄送 01/12 15:10;
已同意 | 贺龙娇 已同意 01/12 16:12;
已同意 | 杨文慧 已同意 01/12 16:14;
已同意 | 施工监理-范钟欣-13817733545 已同意 01/14 17:06;
已同意 | 王伟清 已同意 01/14 17:50;
已同意 | 刘崇宇-18616022203-督导部 已同意 01/15 13:45;
已同意 | 蔡文佳-18916500662-线下运营部 已同意 01/15 14:54;
已同意 | 线下堂食助理-婷婷 已同意 01/15 15:41;
已同意 | 单玮-13816935059-督导部 已同意 01/17 18:29;
已抄送 | 卢家豪 已抄送 01/17 18:29;
已抄送 | 抖音&amp;快手-周幂-17521714387 已抄送 01/17 18:29;
已同意 | 苏磊 已同意 01/17 18:29;
已抄送 | 翁嘉隆-线上运营总监-13611699917 已抄送 01/17 18:29;
已同意 | 陈宇航-线上助理-18350349892 三平台建店完成 已同意 01/23 17:32;
已抄送 | 谢芳 已抄送 01/23 17:32;
已抄送 | 黄琪艳 已抄送 01/23 17:32;
已抄送 | 王京海 已抄送 01/23 17:32</v>
          </cell>
        </row>
        <row r="27">
          <cell r="A27">
            <v>2360</v>
          </cell>
          <cell r="B27" t="str">
            <v>已通过</v>
          </cell>
          <cell r="C27">
            <v>2360</v>
          </cell>
          <cell r="D27" t="str">
            <v>三栋店</v>
          </cell>
          <cell r="E27" t="str">
            <v>已抄送 | 线上督导服务号-如有异议请联系区域经理（此账号不做回复） 已抄送 01/12 15:19;
已抄送 | 线上督导-鹿世鸣-督导部 已抄送 01/12 15:19;
已同意 | 贺龙娇 已同意 01/12 16:05;
已同意 | 杨文慧 已同意 01/12 16:14;
已同意 | 施工监理-范钟欣-13817733545 已同意 01/12 16:34;
已同意 | 王伟清 已同意 01/12 18:25;
已同意 | 刘崇宇-18616022203-督导部 已同意 01/27 15:11;
已同意 | 蔡文佳-18916500662-线下运营部 已同意 01/27 20:39;
已同意 | 休息中-线下堂食助理-婷婷 已同意 01/28 09:57;
已同意 | 单玮-13816935059-督导部 已同意 01/28 10:19;
已抄送 | 卢家豪 已抄送 01/28 10:19;
已抄送 | 抖音&amp;快手-周幂-17521714387 已抄送 01/28 10:19;
已同意 | 苏磊 已同意 01/28 10:19;
已抄送 | 翁嘉隆-线上运营总监-13611699917 已抄送 01/28 10:19;
已同意 | 陈宇航-线上助理-18350349892 三平台建店完成 已同意 01/31 11:20;
已抄送 | 谢芳 已抄送 01/31 11:20;
已抄送 | 黄琪艳 已抄送 01/31 11:20;
已抄送 | 王京海 已抄送 01/31 11:20</v>
          </cell>
        </row>
        <row r="28">
          <cell r="A28">
            <v>1255</v>
          </cell>
          <cell r="B28" t="str">
            <v>已通过</v>
          </cell>
          <cell r="C28">
            <v>1255</v>
          </cell>
          <cell r="D28" t="str">
            <v>汝州店</v>
          </cell>
          <cell r="E28" t="str">
            <v>已抄送 | 线上督导服务号-如有异议请联系区域经理（此账号不做回复） 已抄送 01/12 15:47;
已抄送 | 线上督导-鹿世鸣-督导部 已抄送 01/12 15:47;
已同意 | 贺龙娇 已同意 01/14 15:37;
已同意 | 杨文慧 已同意 01/14 15:53;
已同意 | 施工监理-范钟欣-13817733545 已同意 01/14 17:37;
已同意 | 刘崇宇-18616022203-督导部 已同意 01/15 13:46;
已同意 | 蔡文佳-18916500662-线下运营部 已同意 01/18 13:45;
已同意 | 线下堂食助理-婷婷 已同意 01/18 15:22;
已同意 | 单玮-13816935059-督导部 已同意 01/19 15:23;
已抄送 | 卢家豪 已抄送 01/19 15:23;
已抄送 | 抖音&amp;快手-周幂-17521714387 已抄送 01/19 15:23;
已同意 | 苏磊 已同意 01/19 15:29;
已抄送 | 翁嘉隆-线上运营总监-13611699917 已抄送 01/19 15:29;
已同意 | 陈宇航-线上助理-18350349892 只建美团 已同意 01/23 17:33;
已抄送 | 谢芳 已抄送 01/23 17:33;
已抄送 | 黄琪艳 已抄送 01/23 17:33;
已抄送 | 王京海 已抄送 01/23 17:33</v>
          </cell>
        </row>
        <row r="29">
          <cell r="A29">
            <v>2464</v>
          </cell>
          <cell r="B29" t="str">
            <v>已通过</v>
          </cell>
          <cell r="C29">
            <v>2464</v>
          </cell>
          <cell r="D29" t="str">
            <v>盛世长安店</v>
          </cell>
          <cell r="E29" t="str">
            <v>已抄送 | 线上督导服务号-如有异议请联系区域经理（此账号不做回复） 已抄送 01/13 10:09;
已抄送 | 线上督导-鹿世鸣-督导部 已抄送 01/13 10:09;
已同意 | 贺龙娇 已同意 01/13 14:48;
已同意 | 杨文慧 已同意 01/13 14:50;
已同意 | 施工监理-范钟欣-13817733545 已同意 01/13 15:08;
已同意 | 王伟清 已同意 01/13 15:08;
已同意 | 刘崇宇-18616022203-督导部 已同意 01/13 17:40;
已同意 | 蔡文佳-18916500662-线下运营部 已同意 01/15 13:33;
已同意 | 线下堂食助理-婷婷 已同意 01/15 13:34;
已同意 | 单玮-13816935059-督导部 已同意 01/16 18:29;
已抄送 | 卢家豪 已抄送 01/16 18:29;
已抄送 | 抖音&amp;快手-周幂-17521714387 已抄送 01/16 18:29;
已同意 | 苏磊 已同意 01/16 18:30;
已抄送 | 翁嘉隆-线上运营总监-13611699917 已抄送 01/16 18:30;
已同意 | 陈宇航-线上助理-18350349892 三平台建店完成 已同意 01/22 10:19;
已抄送 | 谢芳 已抄送 01/22 10:19;
已抄送 | 黄琪艳 已抄送 01/22 10:19;
已抄送 | 王京海 已抄送 01/22 10:19</v>
          </cell>
        </row>
        <row r="30">
          <cell r="A30">
            <v>1250</v>
          </cell>
          <cell r="B30" t="str">
            <v>已通过</v>
          </cell>
          <cell r="C30">
            <v>1250</v>
          </cell>
          <cell r="D30" t="str">
            <v>金职院西门店</v>
          </cell>
          <cell r="E30" t="str">
            <v>已抄送 | 线上督导服务号-如有异议请联系区域经理（此账号不做回复） 已抄送 01/13 10:12;
已抄送 | 线上督导-鹿世鸣-督导部 已抄送 01/13 10:12;
已同意 | 贺龙娇 已同意 01/13 14:24;
已同意 | 杨文慧 已同意 01/13 14:39;
已同意 | 施工监理-范钟欣-13817733545 已同意 01/13 14:43;
已同意 | 刘崇宇-18616022203-督导部 已同意 01/14 11:57;
已同意 | 蔡文佳-18916500662-线下运营部 已同意 01/14 12:01;
已同意 | 线下堂食助理-婷婷 已同意 01/14 12:02;
已同意 | 单玮-13816935059-督导部 已同意 01/14 14:07;
已抄送 | 卢家豪 已抄送 01/14 14:07;
已抄送 | 抖音&amp;快手-周幂-17521714387 已抄送 01/14 14:07;
已同意 | 苏磊 已同意 01/14 14:12;
已抄送 | 翁嘉隆-线上运营总监-13611699917 已抄送 01/14 14:12;
已同意 | 陈宇航-线上助理-18350349892 只是换证 已同意 01/19 17:09;
已抄送 | 谢芳 已抄送 01/19 17:09;
已抄送 | 黄琪艳 已抄送 01/19 17:09;
已抄送 | 王京海 已抄送 01/19 17:09</v>
          </cell>
        </row>
        <row r="31">
          <cell r="A31">
            <v>2414</v>
          </cell>
          <cell r="B31" t="str">
            <v>已通过</v>
          </cell>
          <cell r="C31">
            <v>2414</v>
          </cell>
          <cell r="D31" t="str">
            <v>长安横增路店</v>
          </cell>
          <cell r="E31" t="str">
            <v>已抄送 | 线上督导服务号-如有异议请联系区域经理（此账号不做回复） 已抄送 01/13 10:13;
已抄送 | 线上督导-鹿世鸣-督导部 已抄送 01/13 10:13;
已同意 | 贺龙娇 已同意 01/14 15:36;
已同意 | 杨文慧 已同意 01/14 15:52;
已同意 | 施工监理-范钟欣-13817733545 已同意 01/14 17:33;
已同意 | 王伟清 已同意 01/14 17:50;
已同意 | 刘崇宇-18616022203-督导部 已同意 01/15 13:44;
已同意 | 蔡文佳-18916500662-线下运营部 已同意 01/15 15:00;
已同意 | 线下堂食助理-婷婷 已同意 01/15 15:39;
已同意 | 单玮-13816935059-督导部 已同意 01/15 17:15;
已抄送 | 卢家豪 已抄送 01/15 17:15;
已抄送 | 抖音&amp;快手-周幂-17521714387 已抄送 01/15 17:15;
已同意 | 苏磊 已同意 01/15 17:15;
已抄送 | 翁嘉隆-线上运营总监-13611699917 已抄送 01/15 17:15;
已同意 | 陈宇航-线上助理-18350349892 三平台建店完成 已同意 01/19 17:11;
已抄送 | 谢芳 已抄送 01/19 17:11;
已抄送 | 黄琪艳 已抄送 01/19 17:11;
已抄送 | 王京海 已抄送 01/19 17:11</v>
          </cell>
        </row>
        <row r="32">
          <cell r="A32">
            <v>2447</v>
          </cell>
          <cell r="B32" t="str">
            <v>已通过</v>
          </cell>
          <cell r="C32">
            <v>2447</v>
          </cell>
          <cell r="D32" t="str">
            <v>松乐汀广场店</v>
          </cell>
          <cell r="E32" t="str">
            <v>已抄送 | 线上督导服务号-如有异议请联系区域经理（此账号不做回复） 已抄送 01/13 10:14;
已抄送 | 线上督导-鹿世鸣-督导部 已抄送 01/13 10:14;
已同意 | 贺龙娇 已同意 01/14 14:13;
已同意 | 杨文慧 已同意 01/14 14:14;
已同意 | 施工监理-范钟欣-13817733545 已同意 01/14 17:14;
已同意 | 王伟清 已同意 01/14 17:51;
已同意 | 刘崇宇-18616022203-督导部 已同意 01/15 13:44;
已同意 | 蔡文佳-18916500662-线下运营部 已同意 01/15 15:02;
已同意 | 线下堂食助理-婷婷 已同意 01/15 15:39;
已同意 | 单玮-13816935059-督导部 已同意 01/15 17:45;
已抄送 | 卢家豪 已抄送 01/15 17:45;
已抄送 | 抖音&amp;快手-周幂-17521714387 已抄送 01/15 17:45;
已同意 | 苏磊 已同意 01/15 17:48;
已抄送 | 翁嘉隆-线上运营总监-13611699917 已抄送 01/15 17:48;
已同意 | 陈宇航-线上助理-18350349892 三平台建店完成 已同意 01/19 17:13;
已抄送 | 谢芳 已抄送 01/19 17:13;
已抄送 | 黄琪艳 已抄送 01/19 17:13;
已抄送 | 王京海 已抄送 01/19 17:13</v>
          </cell>
        </row>
        <row r="33">
          <cell r="A33">
            <v>2399</v>
          </cell>
          <cell r="B33" t="str">
            <v>已通过</v>
          </cell>
          <cell r="C33">
            <v>2399</v>
          </cell>
          <cell r="D33" t="str">
            <v>湖光店</v>
          </cell>
          <cell r="E33" t="str">
            <v>已抄送 | 线上督导服务号-如有异议请联系区域经理（此账号不做回复） 已抄送 01/13 13:40;
已抄送 | 线上督导-鹿世鸣-督导部 已抄送 01/13 13:40;
已同意 | 贺龙娇 已同意 01/13 14:10;
已同意 | 杨文慧 已同意 01/13 14:18;
已同意 | 施工监理-范钟欣-13817733545 已同意 01/13 14:35;
已同意 | 王伟清 已同意 01/13 15:07;
已同意 | 刘崇宇-18616022203-督导部 已同意 01/15 13:47;
已同意 | 蔡文佳-18916500662-线下运营部 已同意 01/15 22:22;
已同意 | 线下堂食助理-婷婷 已同意 01/16 10:03;
已同意 | 单玮-13816935059-督导部 已同意 01/16 18:29;
已抄送 | 卢家豪 已抄送 01/16 18:29;
已抄送 | 抖音&amp;快手-周幂-17521714387 已抄送 01/16 18:29;
已同意 | 苏磊 已同意 01/16 18:30;
已抄送 | 翁嘉隆-线上运营总监-13611699917 已抄送 01/16 18:30;
已同意 | 陈宇航-线上助理-18350349892 三平台建店完成 已同意 01/22 10:19;
已抄送 | 谢芳 已抄送 01/22 10:19;
已抄送 | 黄琪艳 已抄送 01/22 10:19;
已抄送 | 王京海 已抄送 01/22 10:19</v>
          </cell>
        </row>
        <row r="34">
          <cell r="A34">
            <v>2474</v>
          </cell>
          <cell r="B34" t="str">
            <v>已通过</v>
          </cell>
          <cell r="C34">
            <v>2474</v>
          </cell>
          <cell r="D34" t="str">
            <v>YOHO国际社区店</v>
          </cell>
          <cell r="E34" t="str">
            <v>已抄送 | 线上督导服务号-如有异议请联系区域经理（此账号不做回复） 已抄送 01/13 15:19;
已抄送 | 谢芳 已抄送 01/13 15:19;
已抄送 | 线上督导-鹿世鸣-督导部 已抄送 01/13 15:19;
已同意 | 贺龙娇 已同意 01/13 21:02;
已同意 | 谢珍珍 已同意 01/14 10:18;
已同意 | 施工监理-范钟欣-13817733545 已同意 01/14 17:08;
已同意 | 王伟清 已同意 01/14 17:51;
已同意 | 刘崇宇-18616022203-督导部 已同意 01/15 13:41;
已同意 | 蔡文佳-18916500662-线下运营部 已同意 01/15 15:10;
已同意 | 线下堂食助理-婷婷 已同意 01/15 15:36;
已同意 | 单玮-13816935059-督导部 已同意 01/15 17:15;
已抄送 | 卢家豪 已抄送 01/15 17:15;
已抄送 | 抖音&amp;快手-周幂-17521714387 已抄送 01/15 17:15;
已同意 | 苏磊 已同意 01/15 17:15;
已抄送 | 翁嘉隆-线上运营总监-13611699917 已抄送 01/15 17:15;
已同意 | 陈宇航-线上助理-18350349892 三平台建店完成 已同意 01/19 17:12;
已抄送 | 谢芳 已抄送 01/19 17:12;
已抄送 | 黄琪艳 已抄送 01/19 17:12;
已抄送 | 王京海 已抄送 01/19 17:12</v>
          </cell>
        </row>
        <row r="35">
          <cell r="A35">
            <v>2469</v>
          </cell>
          <cell r="B35" t="str">
            <v>已通过</v>
          </cell>
          <cell r="C35">
            <v>2469</v>
          </cell>
          <cell r="D35" t="str">
            <v>万达广场店</v>
          </cell>
          <cell r="E35" t="str">
            <v>已抄送 | 线上督导服务号-如有异议请联系区域经理（此账号不做回复） 已抄送 01/13 15:23;
已抄送 | 谢芳 已抄送 01/13 15:23;
已抄送 | 线上督导-鹿世鸣-督导部 已抄送 01/13 15:23;
已同意 | 贺龙娇 已同意 01/13 21:00;
已同意 | 谢珍珍 已同意 01/14 10:19;
已同意 | 施工监理-范钟欣-13817733545 已同意 01/14 17:10;
已同意 | 王伟清 已同意 01/14 17:51;
已同意 | 刘崇宇-18616022203-督导部 已同意 01/15 13:41;
已同意 | 蔡文佳-18916500662-线下运营部 已同意 01/15 15:06;
已同意 | 线下堂食助理-婷婷 已同意 01/15 15:37;
已同意 | 单玮-13816935059-督导部 已同意 01/15 18:37;
已抄送 | 卢家豪 已抄送 01/15 18:37;
已抄送 | 抖音&amp;快手-周幂-17521714387 已抄送 01/15 18:37;
已同意 | 苏磊 已同意 01/15 18:38;
已抄送 | 翁嘉隆-线上运营总监-13611699917 已抄送 01/15 18:38;
已同意 | 陈宇航-线上助理-18350349892 三平台建店完成 已同意 01/19 17:12;
已抄送 | 谢芳 已抄送 01/19 17:12;
已抄送 | 黄琪艳 已抄送 01/19 17:12;
已抄送 | 王京海 已抄送 01/19 17:12</v>
          </cell>
        </row>
        <row r="36">
          <cell r="A36">
            <v>2420</v>
          </cell>
          <cell r="B36" t="str">
            <v>已通过</v>
          </cell>
          <cell r="C36">
            <v>2420</v>
          </cell>
          <cell r="D36" t="str">
            <v>学府大街店</v>
          </cell>
          <cell r="E36" t="str">
            <v>已抄送 | 线上督导服务号-如有异议请联系区域经理（此账号不做回复） 已抄送 01/13 15:25;
已抄送 | 谢芳 已抄送 01/13 15:25;
已抄送 | 线上督导-鹿世鸣-督导部 已抄送 01/13 15:25;
已同意 | 贺龙娇 已同意 01/13 20:58;
已同意 | 谢珍珍 已同意 01/14 10:20;
已同意 | 施工监理-范钟欣-13817733545 已同意 01/14 17:11;
已同意 | 王伟清 已同意 01/14 17:51;
已同意 | 刘崇宇-18616022203-督导部 已同意 01/15 13:43;
已同意 | 蔡文佳-18916500662-线下运营部 已同意 01/15 15:03;
已同意 | 线下堂食助理-婷婷 已同意 01/15 15:38;
已同意 | 单玮-13816935059-督导部 已同意 01/15 17:15;
已抄送 | 卢家豪 已抄送 01/15 17:15;
已抄送 | 抖音&amp;快手-周幂-17521714387 已抄送 01/15 17:15;
已同意 | 苏磊 已同意 01/15 17:15;
已抄送 | 翁嘉隆-线上运营总监-13611699917 已抄送 01/15 17:15;
已同意 | 陈宇航-线上助理-18350349892 三平台建店完成 已同意 01/19 17:12;
已抄送 | 谢芳 已抄送 01/19 17:12;
已抄送 | 黄琪艳 已抄送 01/19 17:12;
已抄送 | 王京海 已抄送 01/19 17:12</v>
          </cell>
        </row>
        <row r="37">
          <cell r="A37">
            <v>2435</v>
          </cell>
          <cell r="B37" t="str">
            <v>审批中</v>
          </cell>
          <cell r="C37">
            <v>2435</v>
          </cell>
          <cell r="D37" t="str">
            <v>清溪三中市场店</v>
          </cell>
          <cell r="E37" t="str">
            <v>已抄送 | 线上督导服务号-如有异议请联系区域经理（此账号不做回复） 已抄送 01/13 15:26;
已抄送 | 谢芳 已抄送 01/13 15:26;
已抄送 | 线上督导-鹿世鸣-督导部 已抄送 01/13 15:26;
已同意 | 贺龙娇 已同意 01/13 20:56;
已同意 | 谢珍珍 已同意 01/14 10:20;
已同意 | 施工监理-范钟欣-13817733545 已同意 01/27 10:34;
已同意 | 王伟清 已同意 01/27 11:09;
已同意 | 刘崇宇-18616022203-督导部 已同意 01/30 13:48;
已同意 | 蔡文佳-18916500662-线下运营部 已同意 01/30 16:15;
已同意 | 线下堂食助理-婷婷 已同意 01/30 16:16;
已同意 | 单玮-13816935059-督导部 已同意 01/30 16:51;
已抄送 | 卢家豪 已抄送 01/30 16:51;
已抄送 | 抖音&amp;快手-周幂-17521714387 已抄送 01/30 16:51;
已同意 | 苏磊 已同意 01/30 17:04;
已抄送 | 翁嘉隆-线上运营总监-13611699917 已抄送 01/30 17:04</v>
          </cell>
        </row>
        <row r="38">
          <cell r="A38">
            <v>2437</v>
          </cell>
          <cell r="B38" t="str">
            <v>已通过</v>
          </cell>
          <cell r="C38">
            <v>2437</v>
          </cell>
          <cell r="D38" t="str">
            <v>龙景店</v>
          </cell>
          <cell r="E38" t="str">
            <v>已抄送 | 线上督导服务号-如有异议请联系区域经理（此账号不做回复） 已抄送 01/13 16:21;
已抄送 | 谢芳 已抄送 01/13 16:21;
已抄送 | 线上督导-鹿世鸣-督导部 已抄送 01/13 16:21;
已同意 | 贺龙娇 已同意 01/14 15:24;
已同意 | 杨文慧 已同意 01/14 15:30;
已同意 | 施工监理-范钟欣-13817733545 已同意 01/15 09:30;
已同意 | 王伟清 已同意 01/15 09:38;
已同意 | 刘崇宇-18616022203-督导部 已同意 01/15 13:39;
已同意 | 蔡文佳-18916500662-线下运营部 已同意 01/15 15:12;
已同意 | 线下堂食助理-婷婷 已同意 01/15 15:35;
已同意 | 单玮-13816935059-督导部 已同意 01/15 17:16;
已抄送 | 卢家豪 已抄送 01/15 17:16;
已抄送 | 抖音&amp;快手-周幂-17521714387 已抄送 01/15 17:16;
已同意 | 苏磊 已同意 01/15 17:18;
已抄送 | 翁嘉隆-线上运营总监-13611699917 已抄送 01/15 17:18;
已同意 | 陈宇航-线上助理-18350349892 三平台建店完成 已同意 01/19 17:12;
已抄送 | 谢芳 已抄送 01/19 17:12;
已抄送 | 黄琪艳 已抄送 01/19 17:12;
已抄送 | 王京海 已抄送 01/19 17:12</v>
          </cell>
        </row>
        <row r="39">
          <cell r="A39">
            <v>2448</v>
          </cell>
          <cell r="B39" t="str">
            <v>已通过</v>
          </cell>
          <cell r="C39">
            <v>2448</v>
          </cell>
          <cell r="D39" t="str">
            <v>十里万达店</v>
          </cell>
          <cell r="E39" t="str">
            <v>已抄送 | 线上督导服务号-如有异议请联系区域经理（此账号不做回复） 已抄送 01/13 16:22;
已抄送 | 谢芳 已抄送 01/13 16:22;
已抄送 | 线上督导-鹿世鸣-督导部 已抄送 01/13 16:22;
已同意 | 贺龙娇 已同意 01/14 15:23;
已同意 | 杨文慧 已同意 01/14 15:23;
已同意 | 施工监理-范钟欣-13817733545 已同意 01/16 17:35;
已同意 | 王伟清 已同意 01/16 17:56;
已同意 | 刘崇宇-18616022203-督导部 已同意 01/19 15:40;
已同意 | 蔡文佳-18916500662-线下运营部 已同意 01/19 19:12;
已同意 | 线下堂食助理-婷婷 已同意 01/20 10:22;
已同意 | 单玮-13816935059-督导部 已同意 01/20 13:58;
已抄送 | 卢家豪 已抄送 01/20 13:58;
已抄送 | 抖音&amp;快手-周幂-17521714387 已抄送 01/20 13:58;
已同意 | 苏磊 已同意 01/20 14:03;
已抄送 | 翁嘉隆-线上运营总监-13611699917 已抄送 01/20 14:03;
已同意 | 陈宇航-线上助理-18350349892 三平台建店完成 已同意 01/23 17:35;
已抄送 | 谢芳 已抄送 01/23 17:35;
已抄送 | 黄琪艳 已抄送 01/23 17:35;
已抄送 | 王京海 已抄送 01/23 17:35</v>
          </cell>
        </row>
        <row r="40">
          <cell r="A40">
            <v>2502</v>
          </cell>
          <cell r="B40" t="str">
            <v>已通过</v>
          </cell>
          <cell r="C40">
            <v>2502</v>
          </cell>
          <cell r="D40" t="str">
            <v>大悦城店</v>
          </cell>
          <cell r="E40" t="str">
            <v>已抄送 | 线上督导服务号-如有异议请联系区域经理（此账号不做回复） 已抄送 01/13 16:22;
已抄送 | 谢芳 已抄送 01/13 16:22;
已抄送 | 线上督导-鹿世鸣-督导部 已抄送 01/13 16:22;
已同意 | 贺龙娇 已同意 01/13 16:42;
已同意 | 杨文慧 已同意 01/13 16:43;
已同意 | 施工监理-范钟欣-13817733545 已同意 01/13 17:46;
已同意 | 王伟清 已同意 01/13 17:46;
已同意 | 刘崇宇-18616022203-督导部 已同意 01/15 13:46;
已同意 | 蔡文佳-18916500662-线下运营部 已同意 01/15 14:44;
已同意 | 线下堂食助理-婷婷 已同意 01/15 15:41;
已同意 | 单玮-13816935059-督导部 已同意 01/16 18:29;
已抄送 | 卢家豪 已抄送 01/16 18:29;
已抄送 | 抖音&amp;快手-周幂-17521714387 已抄送 01/16 18:29;
已同意 | 苏磊 已同意 01/16 18:30;
已抄送 | 翁嘉隆-线上运营总监-13611699917 已抄送 01/16 18:30;
已同意 | 陈宇航-线上助理-18350349892 三平台建店完成 已同意 01/22 10:19;
已抄送 | 谢芳 已抄送 01/22 10:19;
已抄送 | 黄琪艳 已抄送 01/22 10:19;
已抄送 | 王京海 已抄送 01/22 10:19</v>
          </cell>
        </row>
        <row r="41">
          <cell r="A41">
            <v>910</v>
          </cell>
          <cell r="B41" t="str">
            <v>已通过</v>
          </cell>
          <cell r="C41">
            <v>910</v>
          </cell>
          <cell r="D41" t="str">
            <v>泉城广场店</v>
          </cell>
          <cell r="E41" t="str">
            <v>已抄送 | 线上督导服务号-如有异议请联系区域经理（此账号不做回复） 已抄送 01/13 17:38;
已抄送 | 谢芳 已抄送 01/13 17:38;
已抄送 | 线上督导-鹿世鸣-督导部 已抄送 01/13 17:38;
已同意 | 贺龙娇 已同意 01/14 15:22;
已同意 | 杨文慧 已同意 01/14 15:23;
已同意 | 施工监理-范钟欣-13817733545 已同意 01/19 12:25;
已同意 | 刘崇宇-18616022203-督导部 已同意 01/19 15:40;
已同意 | 蔡文佳-18916500662-线下运营部 已同意 01/19 19:04;
已同意 | 线下堂食助理-婷婷 已同意 01/20 10:23;
已同意 | 单玮-13816935059-督导部 已同意 01/20 10:34;
已抄送 | 卢家豪 已抄送 01/20 10:34;
已抄送 | 抖音&amp;快手-周幂-17521714387 已抄送 01/20 10:34;
已同意 | 苏磊 已同意 01/20 10:35;
已抄送 | 翁嘉隆-线上运营总监-13611699917 已抄送 01/20 10:35;
已同意 | 陈宇航-线上助理-18350349892 三平台建店完成 已同意 01/23 17:33;
已抄送 | 谢芳 已抄送 01/23 17:33;
已抄送 | 黄琪艳 已抄送 01/23 17:33;
已抄送 | 王京海 已抄送 01/23 17:33</v>
          </cell>
        </row>
        <row r="42">
          <cell r="A42">
            <v>2422</v>
          </cell>
          <cell r="B42" t="str">
            <v>已通过</v>
          </cell>
          <cell r="C42">
            <v>2422</v>
          </cell>
          <cell r="D42" t="str">
            <v>芝罘万达店</v>
          </cell>
          <cell r="E42" t="str">
            <v>已抄送 | 线上督导服务号-如有异议请联系区域经理（此账号不做回复） 已抄送 01/13 17:53;
已抄送 | 谢芳 已抄送 01/13 17:53;
已抄送 | 线上督导-鹿世鸣-督导部 已抄送 01/13 17:53;
已同意 | 贺龙娇 已同意 01/13 20:54;
已同意 | 谢珍珍 已同意 01/14 10:21;
已同意 | 施工监理-范钟欣-13817733545 已同意 01/16 17:53;
已同意 | 王伟清 已同意 01/16 17:56;
已同意 | 刘崇宇-18616022203-督导部 已同意 01/19 15:40;
已同意 | 蔡文佳-18916500662-线下运营部 已同意 01/19 19:07;
已同意 | 线下堂食助理-婷婷 已同意 01/20 10:23;
已同意 | 单玮-13816935059-督导部 已同意 01/20 19:44;
已抄送 | 卢家豪 已抄送 01/20 19:44;
已抄送 | 抖音&amp;快手-周幂-17521714387 已抄送 01/20 19:44;
已同意 | 苏磊 已同意 01/20 19:55;
已抄送 | 翁嘉隆-线上运营总监-13611699917 已抄送 01/20 19:55;
已同意 | 陈宇航-线上助理-18350349892 三平台建店完成 已同意 01/23 17:35;
已抄送 | 谢芳 已抄送 01/23 17:35;
已抄送 | 黄琪艳 已抄送 01/23 17:35;
已抄送 | 王京海 已抄送 01/23 17:35</v>
          </cell>
        </row>
        <row r="43">
          <cell r="A43">
            <v>2452</v>
          </cell>
          <cell r="B43" t="str">
            <v>已通过</v>
          </cell>
          <cell r="C43">
            <v>2452</v>
          </cell>
          <cell r="D43" t="str">
            <v>大田店</v>
          </cell>
          <cell r="E43" t="str">
            <v>已抄送 | 线上督导服务号-如有异议请联系区域经理（此账号不做回复） 已抄送 01/14 11:39;
已抄送 | 谢芳 已抄送 01/14 11:39;
已抄送 | 线上督导-鹿世鸣-督导部 已抄送 01/14 11:39;
已同意 | 贺龙娇 已同意 01/15 17:14;
已同意 | 杨文慧 已同意 01/15 17:18;
已同意 | 施工监理-范钟欣-13817733545 已同意 01/16 10:56;
已同意 | 王伟清 已同意 01/16 11:05;
已同意 | 刘崇宇-18616022203-督导部 已同意 01/19 15:42;
已同意 | 蔡文佳-18916500662-线下运营部 已同意 01/19 19:20;
已同意 | 线下堂食助理-婷婷 已同意 01/20 10:21;
已同意 | 单玮-13816935059-督导部 已同意 01/20 13:58;
已抄送 | 卢家豪 已抄送 01/20 13:58;
已抄送 | 抖音&amp;快手-周幂-17521714387 已抄送 01/20 13:58;
已同意 | 苏磊 已同意 01/20 14:03;
已抄送 | 翁嘉隆-线上运营总监-13611699917 已抄送 01/20 14:03;
已同意 | 陈宇航-线上助理-18350349892 三平台建店完成 已同意 01/23 17:34;
已抄送 | 谢芳 已抄送 01/23 17:34;
已抄送 | 黄琪艳 已抄送 01/23 17:34;
已抄送 | 王京海 已抄送 01/23 17:34</v>
          </cell>
        </row>
        <row r="44">
          <cell r="A44">
            <v>2493</v>
          </cell>
          <cell r="B44" t="str">
            <v>已通过</v>
          </cell>
          <cell r="C44">
            <v>2493</v>
          </cell>
          <cell r="D44" t="str">
            <v>博罗新城店</v>
          </cell>
          <cell r="E44" t="str">
            <v>已抄送 | 线上督导服务号-如有异议请联系区域经理（此账号不做回复） 已抄送 01/14 11:40;
已抄送 | 谢芳 已抄送 01/14 11:40;
已抄送 | 线上督导-鹿世鸣-督导部 已抄送 01/14 11:40;
已同意 | 贺龙娇 已同意 01/14 15:21;
已同意 | 杨文慧 已同意 01/14 15:23;
已同意 | 施工监理-范钟欣-13817733545 已同意 01/22 11:30;
已同意 | 王伟清 已同意 01/22 11:49;
已同意 | 刘崇宇-18616022203-督导部 已同意 01/22 17:26;
已同意 | 蔡文佳-18916500662-线下运营部 已同意 01/22 21:52;
已同意 | 线下堂食助理-婷婷 已同意 01/23 10:00;
已同意 | 单玮-13816935059-督导部 已同意 01/23 16:28;
已抄送 | 卢家豪 已抄送 01/23 16:28;
已抄送 | 抖音&amp;快手-周幂-17521714387 已抄送 01/23 16:28;
已同意 | 苏磊 已同意 01/23 16:28;
已抄送 | 翁嘉隆-线上运营总监-13611699917 已抄送 01/23 16:28;
已同意 | 陈宇航-线上助理-18350349892 三平台建店完成 已同意 01/28 12:16;
已抄送 | 谢芳 已抄送 01/28 12:16;
已抄送 | 黄琪艳 已抄送 01/28 12:16;
已抄送 | 王京海 已抄送 01/28 12:16</v>
          </cell>
        </row>
        <row r="45">
          <cell r="A45">
            <v>1135</v>
          </cell>
          <cell r="B45" t="str">
            <v>审批中</v>
          </cell>
          <cell r="C45">
            <v>1135</v>
          </cell>
          <cell r="D45" t="str">
            <v>科技城店</v>
          </cell>
          <cell r="E45" t="str">
            <v>已抄送 | 线上督导服务号-如有异议请联系区域经理（此账号不做回复） 已抄送 01/14 11:43;
已抄送 | 谢芳 已抄送 01/14 11:43;
已抄送 | 线上督导-鹿世鸣-督导部 已抄送 01/14 11:43;
已同意 | 贺龙娇 已同意 01/14 15:20;
已同意 | 杨文慧 已同意 01/14 15:22;
已同意 | 施工监理-范钟欣-13817733545 已同意 01/14 17:30;
已同意 | 王伟清 已同意 01/14 17:50;
已同意 | 刘崇宇-18616022203-督导部 已同意 01/19 15:43;
已同意 | 蔡文佳-18916500662-线下运营部 已同意 01/19 19:23;
已同意 | 线下堂食助理-婷婷 已同意 01/20 10:21;
已同意 | 单玮-13816935059-督导部 已同意 01/20 10:34;
已抄送 | 卢家豪 已抄送 01/20 10:34;
已抄送 | 抖音&amp;快手-周幂-17521714387 已抄送 01/20 10:34;
已同意 | 苏磊 已同意 01/20 10:35;
已抄送 | 翁嘉隆-线上运营总监-13611699917 已抄送 01/20 10:35</v>
          </cell>
        </row>
        <row r="46">
          <cell r="A46">
            <v>2454</v>
          </cell>
          <cell r="B46" t="str">
            <v>已通过</v>
          </cell>
          <cell r="C46">
            <v>2454</v>
          </cell>
          <cell r="D46" t="str">
            <v>东区店</v>
          </cell>
          <cell r="E46" t="str">
            <v>已抄送 | 线上督导服务号-如有异议请联系区域经理（此账号不做回复） 已抄送 01/14 12:01;
已抄送 | 谢芳 已抄送 01/14 12:01;
已抄送 | 线上督导-鹿世鸣-督导部 已抄送 01/14 12:01;
已同意 | 贺龙娇 已同意 01/14 15:11;
已同意 | 杨文慧 已同意 01/14 15:22;
已同意 | 施工监理-范钟欣-13817733545 已同意 01/19 13:10;
已同意 | 王伟清 已同意 01/19 13:58;
已同意 | 刘崇宇-18616022203-督导部 已同意 01/19 15:39;
已同意 | 蔡文佳-18916500662-线下运营部 已同意 01/19 18:58;
已同意 | 线下堂食助理-婷婷 已同意 01/20 10:20;
已同意 | 单玮-13816935059-督导部 已同意 01/20 10:34;
已抄送 | 卢家豪 已抄送 01/20 10:34;
已抄送 | 抖音&amp;快手-周幂-17521714387 已抄送 01/20 10:34;
已同意 | 苏磊 已同意 01/20 10:35;
已抄送 | 翁嘉隆-线上运营总监-13611699917 已抄送 01/20 10:35;
已同意 | 陈宇航-线上助理-18350349892 三平台建店完成 已同意 01/23 17:33;
已抄送 | 谢芳 已抄送 01/23 17:33;
已抄送 | 黄琪艳 已抄送 01/23 17:33;
已抄送 | 王京海 已抄送 01/23 17:33</v>
          </cell>
        </row>
        <row r="47">
          <cell r="A47">
            <v>2455</v>
          </cell>
          <cell r="B47" t="str">
            <v>已通过</v>
          </cell>
          <cell r="C47">
            <v>2455</v>
          </cell>
          <cell r="D47" t="str">
            <v>三乡店</v>
          </cell>
          <cell r="E47" t="str">
            <v>已抄送 | 线上督导服务号-如有异议请联系区域经理（此账号不做回复） 已抄送 01/14 12:02;
已抄送 | 谢芳 已抄送 01/14 12:02;
已抄送 | 线上督导-鹿世鸣-督导部 已抄送 01/14 12:02;
已同意 | 贺龙娇 已同意 01/14 15:08;
已同意 | 杨文慧 已同意 01/14 15:21;
已同意 | 施工监理-范钟欣-13817733545 已同意 01/19 17:36;
已同意 | 王伟清 已同意 01/19 17:40;
已同意 | 刘崇宇-18616022203-督导部 已同意 01/20 15:36;
已同意 | 蔡文佳-18916500662-线下运营部 已同意 01/20 21:23;
已同意 | 线下堂食助理-婷婷 已同意 01/21 10:10;
已同意 | 单玮-13816935059-督导部 已同意 01/21 14:05;
已抄送 | 卢家豪 已抄送 01/21 14:05;
已抄送 | 抖音&amp;快手-周幂-17521714387 已抄送 01/21 14:05;
已同意 | 苏磊 已同意 01/21 14:19;
已抄送 | 翁嘉隆-线上运营总监-13611699917 已抄送 01/21 14:19;
已同意 | 陈宇航-线上助理-18350349892 三平台建店完成 已同意 01/26 19:10;
已抄送 | 谢芳 已抄送 01/26 19:10;
已抄送 | 黄琪艳 已抄送 01/26 19:10;
已抄送 | 王京海 已抄送 01/26 19:10</v>
          </cell>
        </row>
        <row r="48">
          <cell r="A48">
            <v>2143</v>
          </cell>
          <cell r="B48" t="str">
            <v>已通过</v>
          </cell>
          <cell r="C48">
            <v>2143</v>
          </cell>
          <cell r="D48" t="str">
            <v>万科店</v>
          </cell>
          <cell r="E48" t="str">
            <v>已抄送 | 线上督导服务号-如有异议请联系区域经理（此账号不做回复） 已抄送 01/14 14:29;
已抄送 | 谢芳 已抄送 01/14 14:29;
已抄送 | 线上督导-鹿世鸣-督导部 已抄送 01/14 14:29;
已同意 | 贺龙娇 已同意 01/14 15:06;
已同意 | 杨文慧 已同意 01/14 15:21;
已同意 | 施工监理-范钟欣-13817733545 已同意 01/26 13:48;
已同意 | 王伟清 已同意 01/26 13:56;
已同意 | 刘崇宇-18616022203-督导部 已同意 01/30 13:46;
已同意 | 蔡文佳-18916500662-线下运营部 已同意 01/30 16:10;
已同意 | 线下堂食助理-婷婷 已同意 01/30 16:13;
已同意 | 单玮-13816935059-督导部 已同意 01/30 17:20;
已抄送 | 卢家豪 已抄送 01/30 17:20;
已抄送 | 抖音&amp;快手-周幂-17521714387 已抄送 01/30 17:20;
已同意 | 苏磊 已同意 01/30 17:21;
已抄送 | 翁嘉隆-线上运营总监-13611699917 已抄送 01/30 17:21;
已同意 | 陈宇航-线上助理-18350349892 三平台建店完成 已同意 02/05 11:24;
已抄送 | 谢芳 已抄送 02/05 11:24;
已抄送 | 黄琪艳 已抄送 02/05 11:24;
已抄送 | 王京海 已抄送 02/05 11:24</v>
          </cell>
        </row>
        <row r="49">
          <cell r="A49">
            <v>2431</v>
          </cell>
          <cell r="B49" t="str">
            <v>已通过</v>
          </cell>
          <cell r="C49">
            <v>2431</v>
          </cell>
          <cell r="D49" t="str">
            <v>西城信誉楼店</v>
          </cell>
          <cell r="E49" t="str">
            <v>已抄送 | 线上督导服务号-如有异议请联系区域经理（此账号不做回复） 已抄送 01/15 14:13;
已抄送 | 谢芳 已抄送 01/15 14:13;
已抄送 | 线上督导-鹿世鸣-督导部 已抄送 01/15 14:13;
已同意 | 贺龙娇 已同意 01/15 16:38;
已同意 | 杨文慧 已同意 01/15 17:04;
已同意 | 施工监理-范钟欣-13817733545 已同意 01/16 10:56;
已同意 | 王伟清 已同意 01/16 11:05;
已同意 | 刘崇宇-18616022203-督导部 已同意 01/19 15:41;
已同意 | 蔡文佳-18916500662-线下运营部 已同意 01/19 19:17;
已同意 | 线下堂食助理-婷婷 已同意 01/20 10:21;
已同意 | 单玮-13816935059-督导部 已同意 01/20 13:58;
已抄送 | 卢家豪 已抄送 01/20 13:58;
已抄送 | 抖音&amp;快手-周幂-17521714387 已抄送 01/20 13:58;
已同意 | 苏磊 已同意 01/20 14:03;
已抄送 | 翁嘉隆-线上运营总监-13611699917 已抄送 01/20 14:03;
已同意 | 陈宇航-线上助理-18350349892 三平台建店完成 已同意 01/28 10:27;
已抄送 | 谢芳 已抄送 01/28 10:27;
已抄送 | 黄琪艳 已抄送 01/28 10:27;
已抄送 | 王京海 已抄送 01/28 10:27</v>
          </cell>
        </row>
        <row r="50">
          <cell r="A50">
            <v>2390</v>
          </cell>
          <cell r="B50" t="str">
            <v>审批中</v>
          </cell>
          <cell r="C50">
            <v>2390</v>
          </cell>
          <cell r="D50" t="str">
            <v>御润财富城店</v>
          </cell>
          <cell r="E50" t="str">
            <v>已抄送 | 线上督导服务号-如有异议请联系区域经理（此账号不做回复） 已抄送 01/16 11:19;
已抄送 | 谢芳 已抄送 01/16 11:19;
已抄送 | 线上督导-鹿世鸣-督导部 已抄送 01/16 11:19;
已同意 | 贺龙娇 已同意 01/16 12:20;
已同意 | 杨文慧 已同意 01/16 13:32;
已同意 | 施工监理-范钟欣-13817733545 已同意 01/24 11:33;
已同意 | 王伟清 已同意 01/24 11:52;
已同意 | 刘崇宇-18616022203-督导部 已同意 01/26 19:05;
已同意 | 蔡文佳-18916500662-线下运营部 已同意 01/26 23:37;
已同意 | 线下堂食助理-婷婷 已同意 01/27 10:08;
已同意 | 单玮-13816935059-督导部 已同意 01/27 11:02;
已抄送 | 卢家豪 已抄送 01/27 11:02;
已抄送 | 抖音&amp;快手-周幂-17521714387 已抄送 01/27 11:02;
已同意 | 苏磊 已同意 01/27 11:04;
已抄送 | 翁嘉隆-线上运营总监-13611699917 已抄送 01/27 11:04</v>
          </cell>
        </row>
        <row r="51">
          <cell r="A51">
            <v>2449</v>
          </cell>
          <cell r="B51" t="str">
            <v>已通过</v>
          </cell>
          <cell r="C51">
            <v>2449</v>
          </cell>
          <cell r="D51" t="str">
            <v>酃湖万达店</v>
          </cell>
          <cell r="E51" t="str">
            <v>已抄送 | 线上督导服务号-如有异议请联系区域经理（此账号不做回复） 已抄送 01/16 17:44;
已抄送 | 谢芳 已抄送 01/16 17:44;
已抄送 | 线上督导-鹿世鸣-督导部 已抄送 01/16 17:44;
已同意 | 贺龙娇 已同意 01/19 14:59;
已同意 | 诸静逸 (已离职) 管理员交接 01/16 18:38;
已同意 | 杨文慧 已同意 01/19 15:00;
已同意 | 施工监理-范钟欣-13817733545 已同意 01/22 11:48;
已同意 | 王伟清 已同意 01/22 11:49;
已同意 | 刘崇宇-18616022203-督导部 已同意 01/22 17:26;
已同意 | 蔡文佳-18916500662-线下运营部 已同意 01/22 21:54;
已同意 | 线下堂食助理-婷婷 已同意 01/23 10:00;
已同意 | 单玮-13816935059-督导部 已同意 01/23 16:32;
已抄送 | 卢家豪 已抄送 01/23 16:32;
已抄送 | 抖音&amp;快手-周幂-17521714387 已抄送 01/23 16:32;
已同意 | 苏磊 已同意 01/23 16:35;
已抄送 | 翁嘉隆-线上运营总监-13611699917 已抄送 01/23 16:35;
已同意 | 陈宇航-线上助理-18350349892 三平台建店完成 已同意 01/28 12:16;
已抄送 | 谢芳 已抄送 01/28 12:16;
已抄送 | 黄琪艳 已抄送 01/28 12:16;
已抄送 | 王京海 已抄送 01/28 12:16</v>
          </cell>
        </row>
        <row r="52">
          <cell r="A52">
            <v>2490</v>
          </cell>
          <cell r="B52" t="str">
            <v>已通过</v>
          </cell>
          <cell r="C52">
            <v>2490</v>
          </cell>
          <cell r="D52" t="str">
            <v>惠海店</v>
          </cell>
          <cell r="E52" t="str">
            <v>已抄送 | 线上督导服务号-如有异议请联系区域经理（此账号不做回复） 已抄送 01/17 12:07;
已抄送 | 谢芳 已抄送 01/17 12:07;
已抄送 | 线上督导-鹿世鸣-督导部 已抄送 01/17 12:07;
已同意 | 贺龙娇 已同意 01/19 14:58;
已同意 | 杨文慧 已同意 01/19 15:00;
已同意 | 施工监理-范钟欣-13817733545 已同意 01/22 13:45;
已同意 | 王伟清 已同意 01/22 13:45;
已同意 | 刘崇宇-18616022203-督导部 已同意 01/22 17:25;
已同意 | 蔡文佳-18916500662-线下运营部 已同意 01/22 22:01;
已同意 | 线下堂食助理-婷婷 已同意 01/23 09:58;
已同意 | 单玮-13816935059-督导部 已同意 01/23 16:37;
已抄送 | 卢家豪 已抄送 01/23 16:37;
已抄送 | 抖音&amp;快手-周幂-17521714387 已抄送 01/23 16:37;
已同意 | 苏磊 已同意 01/23 16:37;
已抄送 | 翁嘉隆-线上运营总监-13611699917 已抄送 01/23 16:37;
已同意 | 陈宇航-线上助理-18350349892 三平台建店完成 已同意 02/05 11:23;
已抄送 | 谢芳 已抄送 02/05 11:23;
已抄送 | 黄琪艳 已抄送 02/05 11:23;
已抄送 | 王京海 已抄送 02/05 11:23</v>
          </cell>
        </row>
        <row r="53">
          <cell r="A53">
            <v>2462</v>
          </cell>
          <cell r="B53" t="str">
            <v>已通过</v>
          </cell>
          <cell r="C53">
            <v>2462</v>
          </cell>
          <cell r="D53" t="str">
            <v>正上豪布斯卡店</v>
          </cell>
          <cell r="E53" t="str">
            <v>已抄送 | 线上督导服务号-如有异议请联系区域经理（此账号不做回复） 已抄送 01/18 14:08;
已抄送 | 谢芳 已抄送 01/18 14:08;
已抄送 | 线上督导-鹿世鸣-督导部 已抄送 01/18 14:08;
已同意 | 贺龙娇 已同意 01/19 14:21;
已同意 | 杨文慧 已同意 01/19 14:31;
已同意 | 施工监理-范钟欣-13817733545 已同意 01/19 17:32;
已同意 | 王伟清 已同意 01/19 17:40;
已同意 | 刘崇宇-18616022203-督导部 已同意 01/20 15:36;
已同意 | 蔡文佳-18916500662-线下运营部 已同意 01/20 21:25;
已同意 | 线下堂食助理-婷婷 已同意 01/21 10:09;
已同意 | 单玮-13816935059-督导部 已同意 01/21 17:40;
已抄送 | 卢家豪 已抄送 01/21 17:40;
已抄送 | 抖音&amp;快手-周幂-17521714387 已抄送 01/21 17:40;
已同意 | 苏磊 已同意 01/21 17:41;
已抄送 | 翁嘉隆-线上运营总监-13611699917 已抄送 01/21 17:41;
已同意 | 陈宇航-线上助理-18350349892 三平台建店完成 已同意 01/26 19:11;
已抄送 | 谢芳 已抄送 01/26 19:11;
已抄送 | 黄琪艳 已抄送 01/26 19:11;
已抄送 | 王京海 已抄送 01/26 19:11</v>
          </cell>
        </row>
        <row r="54">
          <cell r="A54">
            <v>2173</v>
          </cell>
          <cell r="B54" t="str">
            <v>已通过</v>
          </cell>
          <cell r="C54">
            <v>2173</v>
          </cell>
          <cell r="D54" t="str">
            <v>万向城</v>
          </cell>
          <cell r="E54" t="str">
            <v>已抄送 | 线上督导服务号-如有异议请联系区域经理（此账号不做回复） 已抄送 01/19 10:08;
已抄送 | 谢芳 已抄送 01/19 10:08;
已抄送 | 线上督导-鹿世鸣-督导部 已抄送 01/19 10:08;
已同意 | 贺龙娇 已同意 01/19 14:18;
已同意 | 杨文慧 已同意 01/19 14:31;
已同意 | 施工监理-范钟欣-13817733545 已同意 01/20 18:09;
已同意 | 王伟清 已同意 01/20 18:10;
已同意 | 刘崇宇-18616022203-督导部 已同意 01/22 17:28;
已同意 | 蔡文佳-18916500662-线下运营部 已同意 01/22 21:45;
已同意 | 线下堂食助理-婷婷 已同意 01/23 09:55;
已同意 | 单玮-13816935059-督导部 已同意 01/23 16:41;
已抄送 | 卢家豪 已抄送 01/23 16:41;
已抄送 | 抖音&amp;快手-周幂-17521714387 已抄送 01/23 16:41;
已同意 | 苏磊 已同意 01/23 16:42;
已抄送 | 翁嘉隆-线上运营总监-13611699917 已抄送 01/23 16:42;
已同意 | 陈宇航-线上助理-18350349892 三平台建店完成 已同意 01/28 12:18;
已抄送 | 谢芳 已抄送 01/28 12:18;
已抄送 | 黄琪艳 已抄送 01/28 12:18;
已抄送 | 王京海 已抄送 01/28 12:18</v>
          </cell>
        </row>
        <row r="55">
          <cell r="A55">
            <v>2363</v>
          </cell>
          <cell r="B55" t="str">
            <v>已通过</v>
          </cell>
          <cell r="C55">
            <v>2363</v>
          </cell>
          <cell r="D55" t="str">
            <v>桥新城店</v>
          </cell>
          <cell r="E55" t="str">
            <v>已抄送 | 线上督导服务号-如有异议请联系区域经理（此账号不做回复） 已抄送 01/19 10:08;
已抄送 | 谢芳 已抄送 01/19 10:08;
已抄送 | 线上督导-鹿世鸣-督导部 已抄送 01/19 10:08;
已同意 | 贺龙娇 已同意 01/19 14:18;
已同意 | 杨文慧 已同意 01/19 14:31;
已同意 | 施工监理-范钟欣-13817733545 已同意 01/19 17:33;
已同意 | 王伟清 已同意 01/19 17:41;
已同意 | 刘崇宇-18616022203-督导部 已同意 01/20 15:34;
已同意 | 蔡文佳-18916500662-线下运营部 已同意 01/20 21:18;
已同意 | 线下堂食助理-婷婷 已同意 01/21 10:11;
已同意 | 单玮-13816935059-督导部 已同意 01/21 14:05;
已抄送 | 卢家豪 已抄送 01/21 14:05;
已抄送 | 抖音&amp;快手-周幂-17521714387 已抄送 01/21 14:05;
已同意 | 苏磊 已同意 01/21 14:19;
已抄送 | 翁嘉隆-线上运营总监-13611699917 已抄送 01/21 14:19;
已同意 | 陈宇航-线上助理-18350349892 三平台建店完成 已同意 01/26 19:11;
已抄送 | 谢芳 已抄送 01/26 19:11;
已抄送 | 黄琪艳 已抄送 01/26 19:11;
已抄送 | 王京海 已抄送 01/26 19:11</v>
          </cell>
        </row>
        <row r="56">
          <cell r="A56">
            <v>2506</v>
          </cell>
          <cell r="B56" t="str">
            <v>已通过</v>
          </cell>
          <cell r="C56">
            <v>2506</v>
          </cell>
          <cell r="D56" t="str">
            <v>宁晋店</v>
          </cell>
          <cell r="E56" t="str">
            <v>已抄送 | 线上督导服务号-如有异议请联系区域经理（此账号不做回复） 已抄送 01/19 10:10;
已抄送 | 谢芳 已抄送 01/19 10:10;
已抄送 | 线上督导-鹿世鸣-督导部 已抄送 01/19 10:10;
已同意 | 贺龙娇 已同意 01/19 14:16;
已同意 | 杨文慧 已同意 01/19 14:17;
已同意 | 施工监理-范钟欣-13817733545 已同意 01/22 13:42;
已同意 | 王伟清 已同意 01/22 13:43;
已同意 | 刘崇宇-18616022203-督导部 已同意 01/22 17:25;
已同意 | 蔡文佳-18916500662-线下运营部 已同意 01/23 19:15;
已同意 | 线下堂食助理-婷婷 已同意 01/25 10:11;
已同意 | 单玮-13816935059-督导部 已同意 01/25 14:15;
已抄送 | 卢家豪 已抄送 01/25 14:15;
已抄送 | 抖音&amp;快手-周幂-17521714387 已抄送 01/25 14:15;
已同意 | 苏磊 已同意 01/25 14:16;
已抄送 | 翁嘉隆-线上运营总监-13611699917 已抄送 01/25 14:16;
已同意 | 陈宇航-线上助理-18350349892 三平台建店完成 已同意 01/28 12:17;
已抄送 | 谢芳 已抄送 01/28 12:17;
已抄送 | 黄琪艳 已抄送 01/28 12:17;
已抄送 | 王京海 已抄送 01/28 12:17</v>
          </cell>
        </row>
        <row r="57">
          <cell r="A57">
            <v>2430</v>
          </cell>
          <cell r="B57" t="str">
            <v>已通过</v>
          </cell>
          <cell r="C57">
            <v>2430</v>
          </cell>
          <cell r="D57" t="str">
            <v>黄家湖店</v>
          </cell>
          <cell r="E57" t="str">
            <v>已抄送 | 线上督导服务号-如有异议请联系区域经理（此账号不做回复） 已抄送 01/19 10:43;
已抄送 | 谢芳 已抄送 01/19 10:43;
已抄送 | 线上督导-鹿世鸣-督导部 已抄送 01/19 10:43;
已同意 | 贺龙娇 已同意 01/19 13:58;
已同意 | 杨文慧 已同意 01/19 14:03;
已同意 | 施工监理-范钟欣-13817733545 已同意 01/19 17:34;
已同意 | 王伟清 已同意 01/19 17:40;
已同意 | 刘崇宇-18616022203-督导部 已同意 01/20 15:35;
已同意 | 蔡文佳-18916500662-线下运营部 已同意 01/20 21:21;
已同意 | 线下堂食助理-婷婷 已同意 01/21 10:10;
已同意 | 单玮-13816935059-督导部 已同意 01/21 14:05;
已抄送 | 卢家豪 已抄送 01/21 14:05;
已抄送 | 抖音&amp;快手-周幂-17521714387 已抄送 01/21 14:05;
已同意 | 苏磊 已同意 01/21 14:19;
已抄送 | 翁嘉隆-线上运营总监-13611699917 已抄送 01/21 14:19;
已同意 | 陈宇航-线上助理-18350349892 三平台建店完成 已同意 01/26 19:11;
已抄送 | 谢芳 已抄送 01/26 19:11;
已抄送 | 黄琪艳 已抄送 01/26 19:11;
已抄送 | 王京海 已抄送 01/26 19:11</v>
          </cell>
        </row>
        <row r="58">
          <cell r="A58">
            <v>2495</v>
          </cell>
          <cell r="B58" t="str">
            <v>已通过</v>
          </cell>
          <cell r="C58">
            <v>2495</v>
          </cell>
          <cell r="D58" t="str">
            <v>东城东升店</v>
          </cell>
          <cell r="E58" t="str">
            <v>已抄送 | 线上督导服务号-如有异议请联系区域经理（此账号不做回复） 已抄送 01/19 11:25;
已抄送 | 谢芳 已抄送 01/19 11:25;
已抄送 | 线上督导-鹿世鸣-督导部 已抄送 01/19 11:25;
已同意 | 贺龙娇 已同意 01/19 13:42;
已同意 | 杨文慧 已同意 01/19 13:52;
已同意 | 施工监理-范钟欣-13817733545 已同意 01/22 14:40;
已同意 | 王伟清 已同意 01/22 14:54;
已同意 | 刘崇宇-18616022203-督导部 已同意 01/22 17:24;
已同意 | 蔡文佳-18916500662-线下运营部 已同意 01/22 22:05;
已同意 | 线下堂食助理-婷婷 已同意 01/23 09:57;
已同意 | 单玮-13816935059-督导部 已同意 01/23 17:50;
已抄送 | 卢家豪 已抄送 01/23 17:50;
已抄送 | 抖音&amp;快手-周幂-17521714387 已抄送 01/23 17:50;
已同意 | 苏磊 已同意 01/23 17:50;
已抄送 | 翁嘉隆-线上运营总监-13611699917 已抄送 01/23 17:50;
已同意 | 陈宇航-线上助理-18350349892 三平台建店完成 已同意 01/28 12:18;
已抄送 | 谢芳 已抄送 01/28 12:18;
已抄送 | 黄琪艳 已抄送 01/28 12:18;
已抄送 | 王京海 已抄送 01/28 12:18</v>
          </cell>
        </row>
        <row r="59">
          <cell r="A59">
            <v>2525</v>
          </cell>
          <cell r="B59" t="str">
            <v>审批中</v>
          </cell>
          <cell r="C59">
            <v>2525</v>
          </cell>
          <cell r="D59" t="str">
            <v>齐河东宋店</v>
          </cell>
          <cell r="E59" t="str">
            <v>已抄送 | 线上督导服务号-如有异议请联系区域经理（此账号不做回复） 已抄送 01/19 11:48;
已抄送 | 谢芳 已抄送 01/19 11:48;
已抄送 | 线上督导-鹿世鸣-督导部 已抄送 01/19 11:48;
已同意 | 贺龙娇 已同意 01/30 20:01;
已同意 | 杨文慧 已同意 01/30 20:04;
已同意 | 施工监理-范钟欣-13817733545 已同意 02/02 11:13;
已同意 | 王伟清 已同意 02/02 11:14;
已同意 | 刘崇宇-18616022203-督导部 已同意 02/02 12:35;
已同意 | 蔡文佳-18916500662-线下运营部 已同意 02/02 15:53;
已同意 | 线下堂食助理-婷婷 已同意 02/02 15:56;
已同意 | 单玮-13816935059-督导部 已同意 02/02 18:32;
已抄送 | 卢家豪 已抄送 02/02 18:32;
已抄送 | 抖音&amp;快手-周幂-17521714387 已抄送 02/02 18:32;
已同意 | 苏磊 已同意 02/02 18:32;
已抄送 | 翁嘉隆-线上运营总监-13611699917 已抄送 02/02 18:32</v>
          </cell>
        </row>
        <row r="60">
          <cell r="A60">
            <v>2429</v>
          </cell>
          <cell r="B60" t="str">
            <v>审批中</v>
          </cell>
          <cell r="C60">
            <v>2429</v>
          </cell>
          <cell r="D60" t="str">
            <v>枣庄兰琪花园店</v>
          </cell>
          <cell r="E60" t="str">
            <v>已抄送 | 线上督导服务号-如有异议请联系区域经理（此账号不做回复） 已抄送 01/19 11:51;
已抄送 | 谢芳 已抄送 01/19 11:51;
已抄送 | 线上督导-鹿世鸣-督导部 已抄送 01/19 11:51;
已同意 | 贺龙娇 已同意 01/19 13:39;
已同意 | 杨文慧 已同意 01/19 13:40;
已同意 | 施工监理-范钟欣-13817733545 已同意 02/02 09:51;
已同意 | 王伟清 已同意 02/02 10:00;
已同意 | 刘崇宇-18616022203-督导部 已同意 02/02 12:35;
已同意 | 蔡文佳-18916500662-线下运营部 已同意 02/02 15:51;
已同意 | 线下堂食助理-婷婷 已同意 02/02 15:57;
已同意 | 单玮-13816935059-督导部 已同意 02/02 18:32;
已抄送 | 卢家豪 已抄送 02/02 18:32;
已抄送 | 抖音&amp;快手-周幂-17521714387 已抄送 02/02 18:32;
已同意 | 苏磊 已同意 02/02 18:32;
已抄送 | 翁嘉隆-线上运营总监-13611699917 已抄送 02/02 18:32</v>
          </cell>
        </row>
        <row r="61">
          <cell r="A61">
            <v>2503</v>
          </cell>
          <cell r="B61" t="str">
            <v>审批中</v>
          </cell>
          <cell r="C61">
            <v>2503</v>
          </cell>
          <cell r="D61" t="str">
            <v>崇尚店</v>
          </cell>
          <cell r="E61" t="str">
            <v>已抄送 | 线上督导服务号-如有异议请联系区域经理（此账号不做回复） 已抄送 01/19 12:28;
已抄送 | 谢芳 已抄送 01/19 12:28;
已抄送 | 线上督导-鹿世鸣-督导部 已抄送 01/19 12:28;
已同意 | 贺龙娇 已同意 01/19 13:39;
已同意 | 杨文慧 已同意 01/19 13:40;
已同意 | 施工监理-范钟欣-13817733545 已同意 01/30 16:20;
已同意 | 王伟清 已同意 01/30 16:44;
已同意 | 刘崇宇-18616022203-督导部 已同意 02/02 12:33;
已同意 | 蔡文佳-18916500662-线下运营部 已同意 02/02 15:42;
已同意 | 线下堂食助理-婷婷 已同意 02/02 15:56;
已同意 | 单玮-13816935059-督导部 已同意 02/03 09:44;
已抄送 | 卢家豪 已抄送 02/03 09:44;
已抄送 | 抖音&amp;快手-周幂-17521714387 已抄送 02/03 09:44;
已同意 | 苏磊 已同意 02/03 09:50;
已抄送 | 翁嘉隆-线上运营总监-13611699917 已抄送 02/03 09:50</v>
          </cell>
        </row>
        <row r="62">
          <cell r="A62">
            <v>2505</v>
          </cell>
          <cell r="B62" t="str">
            <v>审批中</v>
          </cell>
          <cell r="C62">
            <v>2505</v>
          </cell>
          <cell r="D62" t="str">
            <v>德嘉绿城店</v>
          </cell>
          <cell r="E62" t="str">
            <v>已抄送 | 线上督导服务号-如有异议请联系区域经理（此账号不做回复） 已抄送 01/19 14:23;
已抄送 | 谢芳 已抄送 01/19 14:23;
已抄送 | 线上督导-鹿世鸣-督导部 已抄送 01/19 14:23;
已同意 | 贺龙娇 已同意 01/20 16:14;
已同意 | 杨文慧 已同意 01/20 17:49;
已同意 | 施工监理-范钟欣-13817733545 已同意 01/31 15:05;
已同意 | 王伟清 已同意 01/31 15:36;
已同意 | 刘崇宇-18616022203-督导部 已同意 02/01 18:42;
已同意 | 蔡文佳-18916500662-线下运营部 已同意 02/01 20:14;
已同意 | 线下堂食助理-婷婷 已同意 02/02 10:03;
已同意 | 单玮-13816935059-督导部 已同意 02/02 17:15;
已抄送 | 卢家豪 已抄送 02/02 17:15;
已抄送 | 抖音&amp;快手-周幂-17521714387 已抄送 02/02 17:15;
已同意 | 苏磊 已同意 02/02 17:24;
已抄送 | 翁嘉隆-线上运营总监-13611699917 已抄送 02/02 17:24</v>
          </cell>
        </row>
        <row r="63">
          <cell r="A63">
            <v>2427</v>
          </cell>
          <cell r="B63" t="str">
            <v>已通过</v>
          </cell>
          <cell r="C63">
            <v>2427</v>
          </cell>
          <cell r="D63" t="str">
            <v>肇东正阳大街店</v>
          </cell>
          <cell r="E63" t="str">
            <v>已抄送 | 线上督导服务号-如有异议请联系区域经理（此账号不做回复） 已抄送 01/19 14:41;
已抄送 | 谢芳 已抄送 01/19 14:41;
已抄送 | 线上督导-鹿世鸣-督导部 已抄送 01/19 14:41;
已同意 | 贺龙娇 已同意 01/19 15:01;
已同意 | 杨文慧 已同意 01/19 15:29;
已同意 | 施工监理-范钟欣-13817733545 已同意 01/20 15:46;
已同意 | 王伟清 已同意 01/20 15:53;
已同意 | 刘崇宇-18616022203-督导部 已同意 01/20 16:16;
已同意 | 蔡文佳-18916500662-线下运营部 已同意 01/20 21:26;
已同意 | 线下堂食助理-婷婷 已同意 01/21 10:09;
已同意 | 单玮-13816935059-督导部 已同意 01/21 16:55;
已抄送 | 卢家豪 已抄送 01/21 16:55;
已抄送 | 抖音&amp;快手-周幂-17521714387 已抄送 01/21 16:55;
已同意 | 苏磊 已同意 01/21 16:56;
已抄送 | 翁嘉隆-线上运营总监-13611699917 已抄送 01/21 16:56;
已同意 | 陈宇航-线上助理-18350349892 三平台建店完成 已同意 01/26 19:11;
已抄送 | 谢芳 已抄送 01/26 19:11;
已抄送 | 黄琪艳 已抄送 01/26 19:11;
已抄送 | 王京海 已抄送 01/26 19:11</v>
          </cell>
        </row>
        <row r="64">
          <cell r="A64">
            <v>2501</v>
          </cell>
          <cell r="B64" t="str">
            <v>审批中</v>
          </cell>
          <cell r="C64">
            <v>2501</v>
          </cell>
          <cell r="D64" t="str">
            <v>北斗路店</v>
          </cell>
          <cell r="E64" t="str">
            <v>已抄送 | 线上督导服务号-如有异议请联系区域经理（此账号不做回复） 已抄送 01/19 18:04;
已抄送 | 谢芳 已抄送 01/19 18:04;
已抄送 | 线上督导-鹿世鸣-督导部 已抄送 01/19 18:04;
已同意 | 贺龙娇 已同意 01/20 16:02;
已同意 | 杨文慧 已同意 01/20 16:13;
已同意 | 施工监理-范钟欣-13817733545 已同意 01/21 17:34;
已同意 | 王伟清 已同意 01/21 17:36;
已同意 | 刘崇宇-18616022203-督导部 已同意 01/22 17:27;
已同意 | 蔡文佳-18916500662-线下运营部 已同意 01/22 21:50;
已同意 | 线下堂食助理-婷婷 已同意 01/23 10:01;
已同意 | 单玮-13816935059-督导部 已同意 01/23 16:26;
已抄送 | 卢家豪 已抄送 01/23 16:26;
已抄送 | 抖音&amp;快手-周幂-17521714387 已抄送 01/23 16:26;
已同意 | 苏磊 已同意 01/23 16:26;
已抄送 | 翁嘉隆-线上运营总监-13611699917 已抄送 01/23 16:26</v>
          </cell>
        </row>
        <row r="65">
          <cell r="A65">
            <v>2273</v>
          </cell>
          <cell r="B65" t="str">
            <v>审批中</v>
          </cell>
          <cell r="C65">
            <v>2273</v>
          </cell>
          <cell r="D65" t="str">
            <v>昌吉新汇嘉店</v>
          </cell>
          <cell r="E65" t="str">
            <v>已抄送 | 线上督导服务号-如有异议请联系区域经理（此账号不做回复） 已抄送 01/20 17:10;
已抄送 | 谢芳 已抄送 01/20 17:10;
已抄送 | 线上督导-鹿世鸣-督导部 已抄送 01/20 17:10;
已同意 | 贺龙娇 已同意 01/21 14:39;
已同意 | 杨文慧 已同意 01/21 15:00;
已同意 | 施工监理-范钟欣-13817733545 已同意 01/21 15:05;
已同意 | 王伟清 已同意 01/21 17:36;
已同意 | 刘崇宇-18616022203-督导部 已同意 01/22 17:27;
已同意 | 蔡文佳-18916500662-线下运营部 已同意 01/22 21:47;
已同意 | 线下堂食助理-婷婷 已同意 01/23 10:02;
已同意 | 单玮-13816935059-督导部 已同意 01/23 18:49;
已抄送 | 卢家豪 已抄送 01/23 18:49;
已抄送 | 抖音&amp;快手-周幂-17521714387 已抄送 01/23 18:49;
已同意 | 苏磊 已同意 01/23 18:50;
已抄送 | 翁嘉隆-线上运营总监-13611699917 已抄送 01/23 18:50</v>
          </cell>
        </row>
        <row r="66">
          <cell r="A66">
            <v>2513</v>
          </cell>
          <cell r="B66" t="str">
            <v>已通过</v>
          </cell>
          <cell r="C66">
            <v>2513</v>
          </cell>
          <cell r="D66" t="str">
            <v>空港大道店</v>
          </cell>
          <cell r="E66" t="str">
            <v>已抄送 | 线上督导服务号-如有异议请联系区域经理（此账号不做回复） 已抄送 01/21 10:59;
已抄送 | 谢芳 已抄送 01/21 10:59;
已抄送 | 线上督导-鹿世鸣-督导部 已抄送 01/21 10:59;
已同意 | 贺龙娇 已同意 01/22 14:02;
已同意 | 杨文慧 已同意 01/22 14:07;
已同意 | 施工监理-范钟欣-13817733545 已同意 01/24 11:59;
已同意 | 王伟清 已同意 01/24 12:21;
已同意 | 刘崇宇-18616022203-督导部 已同意 01/27 11:49;
已同意 | 蔡文佳-18916500662-线下运营部 已同意 01/27 20:37;
已同意 | 休息中-线下堂食助理-婷婷 已同意 01/28 09:56;
已同意 | 单玮-13816935059-督导部 已同意 01/28 10:19;
已抄送 | 卢家豪 已抄送 01/28 10:19;
已抄送 | 抖音&amp;快手-周幂-17521714387 已抄送 01/28 10:19;
已同意 | 苏磊 已同意 01/28 10:19;
已抄送 | 翁嘉隆-线上运营总监-13611699917 已抄送 01/28 10:19;
已同意 | 陈宇航-线上助理-18350349892 三平台建店完成 已同意 01/31 11:19;
已抄送 | 谢芳 已抄送 01/31 11:19;
已抄送 | 黄琪艳 已抄送 01/31 11:19;
已抄送 | 王京海 已抄送 01/31 11:19</v>
          </cell>
        </row>
        <row r="67">
          <cell r="A67">
            <v>2424</v>
          </cell>
          <cell r="B67" t="str">
            <v>审批中</v>
          </cell>
          <cell r="C67">
            <v>2424</v>
          </cell>
          <cell r="D67" t="str">
            <v>温都水城店</v>
          </cell>
          <cell r="E67" t="str">
            <v>已抄送 | 线上督导服务号-如有异议请联系区域经理（此账号不做回复） 已抄送 01/21 11:01;
已抄送 | 谢芳 已抄送 01/21 11:01;
已抄送 | 线上督导-鹿世鸣-督导部 已抄送 01/21 11:01;
已同意 | 贺龙娇 已同意 02/04 15:48;
已同意 | 杨文慧 已同意 02/04 15:51;
已同意 | 施工监理-范钟欣-13817733545 已同意 02/04 15:53;
已同意 | 王伟清 已同意 02/04 16:13;
已同意 | 刘崇宇-18616022203-督导部 已同意 02/05 14:53</v>
          </cell>
        </row>
        <row r="68">
          <cell r="A68">
            <v>2524</v>
          </cell>
          <cell r="B68" t="str">
            <v>已通过</v>
          </cell>
          <cell r="C68">
            <v>2524</v>
          </cell>
          <cell r="D68" t="str">
            <v>迎水道店</v>
          </cell>
          <cell r="E68" t="str">
            <v>已抄送 | 线上督导服务号-如有异议请联系区域经理（此账号不做回复） 已抄送 01/21 11:42;
已抄送 | 谢芳 已抄送 01/21 11:42;
已抄送 | 线上督导-鹿世鸣-督导部 已抄送 01/21 11:42;
已同意 | 贺龙娇 已同意 01/27 18:01;
已同意 | 杨文慧 已同意 01/27 18:05;
已同意 | 施工监理-范钟欣-13817733545 已同意 01/28 09:42;
已同意 | 王伟清 已同意 01/28 09:58;
已同意 | 刘崇宇-18616022203-督导部 已同意 01/30 13:44;
已同意 | 蔡文佳-18916500662-线下运营部 已同意 01/30 16:02;
已同意 | 线下堂食助理-婷婷 已同意 01/30 16:11;
已同意 | 单玮-13816935059-督导部 已同意 01/30 17:45;
已抄送 | 卢家豪 已抄送 01/30 17:45;
已抄送 | 抖音&amp;快手-周幂-17521714387 已抄送 01/30 17:45;
已同意 | 苏磊 已同意 01/30 17:50;
已抄送 | 翁嘉隆-线上运营总监-13611699917 已抄送 01/30 17:50;
已同意 | 陈宇航-线上助理-18350349892 三平台建店完成 已同意 02/05 11:25;
已抄送 | 谢芳 已抄送 02/05 11:25;
已抄送 | 黄琪艳 已抄送 02/05 11:25;
已抄送 | 王京海 已抄送 02/05 11:25</v>
          </cell>
        </row>
        <row r="69">
          <cell r="A69">
            <v>2498</v>
          </cell>
          <cell r="B69" t="str">
            <v>已通过</v>
          </cell>
          <cell r="C69">
            <v>2498</v>
          </cell>
          <cell r="D69" t="str">
            <v>马头店</v>
          </cell>
          <cell r="E69" t="str">
            <v>已抄送 | 线上督导服务号-如有异议请联系区域经理（此账号不做回复） 已抄送 01/21 14:44;
已抄送 | 谢芳 已抄送 01/21 14:44;
已抄送 | 线上督导-鹿世鸣-督导部 已抄送 01/21 14:44;
已同意 | 贺龙娇 已同意 01/22 14:00;
已同意 | 杨文慧 已同意 01/22 14:07;
已同意 | 施工监理-范钟欣-13817733545 已同意 01/22 14:14;
已同意 | 王伟清 已同意 01/22 14:36;
已同意 | 刘崇宇-18616022203-督导部 已同意 01/22 17:24;
已同意 | 蔡文佳-18916500662-线下运营部 已同意 01/22 22:03;
已同意 | 线下堂食助理-婷婷 已同意 01/23 09:57;
已同意 | 单玮-13816935059-督导部 已同意 01/23 16:38;
已抄送 | 卢家豪 已抄送 01/23 16:38;
已抄送 | 抖音&amp;快手-周幂-17521714387 已抄送 01/23 16:38;
已同意 | 苏磊 已同意 01/23 16:41;
已抄送 | 翁嘉隆-线上运营总监-13611699917 已抄送 01/23 16:41;
已同意 | 陈宇航-线上助理-18350349892 三平台建店完成 已同意 01/28 12:17;
已抄送 | 谢芳 已抄送 01/28 12:17;
已抄送 | 黄琪艳 已抄送 01/28 12:17;
已抄送 | 王京海 已抄送 01/28 12:17</v>
          </cell>
        </row>
        <row r="70">
          <cell r="A70">
            <v>2433</v>
          </cell>
          <cell r="B70" t="str">
            <v>已通过</v>
          </cell>
          <cell r="C70">
            <v>2433</v>
          </cell>
          <cell r="D70" t="str">
            <v>凤凰镇店</v>
          </cell>
          <cell r="E70" t="str">
            <v>已抄送 | 线上督导服务号-如有异议请联系区域经理（此账号不做回复） 已抄送 01/21 17:57;
已抄送 | 谢芳 已抄送 01/21 17:57;
已抄送 | 线上督导-鹿世鸣-督导部 已抄送 01/21 17:57;
已同意 | 贺龙娇 已同意 01/22 14:00;
已同意 | 杨文慧 已同意 01/22 14:07;
已同意 | 施工监理-范钟欣-13817733545 已同意 01/27 11:59;
已同意 | 王伟清 已同意 01/27 12:16;
已同意 | 刘崇宇-18616022203-督导部 已同意 01/30 13:45;
已同意 | 蔡文佳-18916500662-线下运营部 已同意 01/30 16:04;
已同意 | 线下堂食助理-婷婷 已同意 01/30 16:10;
已同意 | 单玮-13816935059-督导部 已同意 01/30 17:49;
已抄送 | 卢家豪 已抄送 01/30 17:49;
已抄送 | 抖音&amp;快手-周幂-17521714387 已抄送 01/30 17:49;
已同意 | 苏磊 已同意 01/30 17:50;
已抄送 | 翁嘉隆-线上运营总监-13611699917 已抄送 01/30 17:50;
已同意 | 陈宇航-线上助理-18350349892 三平台建店完成 已同意 02/05 11:25;
已抄送 | 谢芳 已抄送 02/05 11:25;
已抄送 | 黄琪艳 已抄送 02/05 11:25;
已抄送 | 王京海 已抄送 02/05 11:25</v>
          </cell>
        </row>
        <row r="71">
          <cell r="A71">
            <v>2416</v>
          </cell>
          <cell r="B71" t="str">
            <v>已通过</v>
          </cell>
          <cell r="C71">
            <v>2416</v>
          </cell>
          <cell r="D71" t="str">
            <v>湘隆时代广场店</v>
          </cell>
          <cell r="E71" t="str">
            <v>已抄送 | 线上督导服务号-如有异议请联系区域经理（此账号不做回复） 已抄送 01/22 11:18;
已抄送 | 谢芳 已抄送 01/22 11:18;
已抄送 | 线上督导-鹿世鸣-督导部 已抄送 01/22 11:18;
已同意 | 李婕 已同意 01/22 12:06;
已同意 | 杨文慧 已同意 01/22 12:06;
已同意 | 施工监理-范钟欣-13817733545 已同意 01/22 12:15;
已同意 | 王伟清 已同意 01/22 12:16;
已同意 | 刘崇宇-18616022203-督导部 已同意 01/22 17:26;
已同意 | 蔡文佳-18916500662-线下运营部 已同意 01/22 21:55;
已同意 | 线下堂食助理-婷婷 已同意 01/23 09:59;
已同意 | 单玮-13816935059-督导部 已同意 01/23 16:34;
已抄送 | 卢家豪 已抄送 01/23 16:34;
已抄送 | 抖音&amp;快手-周幂-17521714387 已抄送 01/23 16:34;
已同意 | 苏磊 已同意 01/23 16:35;
已抄送 | 翁嘉隆-线上运营总监-13611699917 已抄送 01/23 16:35;
已同意 | 陈宇航-线上助理-18350349892 三平台建店完成 已同意 01/28 12:16;
已抄送 | 谢芳 已抄送 01/28 12:16;
已抄送 | 黄琪艳 已抄送 01/28 12:16;
已抄送 | 王京海 已抄送 01/28 12:16</v>
          </cell>
        </row>
        <row r="72">
          <cell r="A72">
            <v>2484</v>
          </cell>
          <cell r="B72" t="str">
            <v>已通过</v>
          </cell>
          <cell r="C72">
            <v>2484</v>
          </cell>
          <cell r="D72" t="str">
            <v>临朐盛世家园店</v>
          </cell>
          <cell r="E72" t="str">
            <v>已抄送 | 线上督导服务号-如有异议请联系区域经理（此账号不做回复） 已抄送 01/22 11:18;
已抄送 | 谢芳 已抄送 01/22 11:18;
已抄送 | 线上督导-鹿世鸣-督导部 已抄送 01/22 11:18;
已同意 | 李婕 已同意 01/22 12:05;
已同意 | 杨文慧 已同意 01/22 12:06;
已同意 | 施工监理-范钟欣-13817733545 已同意 01/22 12:16;
已同意 | 王伟清 已同意 01/22 12:16;
已同意 | 刘崇宇-18616022203-督导部 已同意 01/22 17:25;
已同意 | 蔡文佳-18916500662-线下运营部 已同意 01/22 21:57;
已同意 | 线下堂食助理-婷婷 已同意 01/23 09:58;
已同意 | 单玮-13816935059-督导部 已同意 01/23 16:36;
已抄送 | 卢家豪 已抄送 01/23 16:36;
已抄送 | 抖音&amp;快手-周幂-17521714387 已抄送 01/23 16:36;
已同意 | 苏磊 已同意 01/23 16:36;
已抄送 | 翁嘉隆-线上运营总监-13611699917 已抄送 01/23 16:36;
已同意 | 陈宇航-线上助理-18350349892 三平台建店完成 已同意 01/28 12:16;
已抄送 | 谢芳 已抄送 01/28 12:16;
已抄送 | 黄琪艳 已抄送 01/28 12:16;
已抄送 | 王京海 已抄送 01/28 12:16</v>
          </cell>
        </row>
        <row r="73">
          <cell r="A73">
            <v>2517</v>
          </cell>
          <cell r="B73" t="str">
            <v>已通过</v>
          </cell>
          <cell r="C73">
            <v>2517</v>
          </cell>
          <cell r="D73" t="str">
            <v>吉品街店</v>
          </cell>
          <cell r="E73" t="str">
            <v>已抄送 | 线上督导服务号-如有异议请联系区域经理（此账号不做回复） 已抄送 01/22 11:41;
已抄送 | 谢芳 已抄送 01/22 11:41;
已抄送 | 线上督导-鹿世鸣-督导部 已抄送 01/22 11:41;
已同意 | 李婕 已同意 01/22 12:04;
已同意 | 杨文慧 已同意 01/22 12:07;
已同意 | 施工监理-范钟欣-13817733545 已同意 01/26 13:50;
已同意 | 王伟清 已同意 01/26 13:56;
已同意 | 刘崇宇-18616022203-督导部 已同意 01/28 11:52;
已同意 | 蔡文佳-18916500662-线下运营部 已同意 01/29 01:20;
已同意 | 线下堂食助理-婷婷 已同意 01/29 10:10;
已同意 | 单玮-13816935059-督导部 已同意 01/30 12:04;
已抄送 | 卢家豪 已抄送 01/30 12:04;
已抄送 | 抖音&amp;快手-周幂-17521714387 已抄送 01/30 12:04;
已同意 | 苏磊 已同意 01/30 12:16;
已抄送 | 翁嘉隆-线上运营总监-13611699917 已抄送 01/30 12:16;
已同意 | 陈宇航-线上助理-18350349892 三平台建店完成 已同意 02/04 18:47;
已抄送 | 谢芳 已抄送 02/04 18:47;
已抄送 | 黄琪艳 已抄送 02/04 18:47;
已抄送 | 王京海 已抄送 02/04 18:47</v>
          </cell>
        </row>
        <row r="74">
          <cell r="A74">
            <v>2450</v>
          </cell>
          <cell r="B74" t="str">
            <v>已通过</v>
          </cell>
          <cell r="C74">
            <v>2450</v>
          </cell>
          <cell r="D74" t="str">
            <v>师院店</v>
          </cell>
          <cell r="E74" t="str">
            <v>已抄送 | 线上督导服务号-如有异议请联系区域经理（此账号不做回复） 已抄送 01/22 11:57;
已抄送 | 谢芳 已抄送 01/22 11:57;
已抄送 | 线上督导-鹿世鸣-督导部 已抄送 01/22 11:57;
已同意 | 李婕 已同意 01/22 12:04;
已同意 | 杨文慧 已同意 01/22 12:07;
已同意 | 施工监理-范钟欣-13817733545 已同意 01/28 17:12;
已同意 | 王伟清 已同意 01/28 17:17;
已同意 | 刘崇宇-18616022203-督导部 已同意 01/30 13:44;
已同意 | 蔡文佳-18916500662-线下运营部 已同意 01/30 16:01;
已同意 | 线下堂食助理-婷婷 已同意 01/30 16:12;
已同意 | 单玮-13816935059-督导部 已同意 01/30 17:39;
已抄送 | 卢家豪 已抄送 01/30 17:39;
已抄送 | 抖音&amp;快手-周幂-17521714387 已抄送 01/30 17:39;
已同意 | 苏磊 已同意 01/30 17:50;
已抄送 | 翁嘉隆-线上运营总监-13611699917 已抄送 01/30 17:50;
已同意 | 陈宇航-线上助理-18350349892 三平台建店完成 已同意 02/05 11:25;
已抄送 | 谢芳 已抄送 02/05 11:25;
已抄送 | 黄琪艳 已抄送 02/05 11:25;
已抄送 | 王京海 已抄送 02/05 11:25</v>
          </cell>
        </row>
        <row r="75">
          <cell r="A75">
            <v>2479</v>
          </cell>
          <cell r="B75" t="str">
            <v>已通过</v>
          </cell>
          <cell r="C75">
            <v>2479</v>
          </cell>
          <cell r="D75" t="str">
            <v>万达店</v>
          </cell>
          <cell r="E75" t="str">
            <v>已抄送 | 线上督导服务号-如有异议请联系区域经理（此账号不做回复） 已抄送 01/22 11:57;
已抄送 | 谢芳 已抄送 01/22 11:57;
已抄送 | 线上督导-鹿世鸣-督导部 已抄送 01/22 11:57;
已同意 | 李婕 已同意 01/22 11:59;
已同意 | 杨文慧 已同意 01/22 12:00;
已同意 | 施工监理-范钟欣-13817733545 已同意 01/28 18:28;
已同意 | 王伟清 已同意 01/28 18:29;
已同意 | 刘崇宇-18616022203-督导部 已同意 01/30 13:43;
已同意 | 蔡文佳-18916500662-线下运营部 已同意 01/30 15:59;
已同意 | 线下堂食助理-婷婷 已同意 01/30 16:08;
已同意 | 单玮-13816935059-督导部 已同意 01/31 14:55;
已抄送 | 卢家豪 已抄送 01/31 14:55;
已抄送 | 抖音&amp;快手-周幂-17521714387 已抄送 01/31 14:55;
已同意 | 苏磊 已同意 01/31 15:15;
已抄送 | 翁嘉隆-线上运营总监-13611699917 已抄送 01/31 15:15;
已同意 | 陈宇航-线上助理-18350349892 三平台建店完成 已同意 02/05 11:26;
已抄送 | 谢芳 已抄送 02/05 11:26;
已抄送 | 黄琪艳 已抄送 02/05 11:26;
已抄送 | 王京海 已抄送 02/05 11:26</v>
          </cell>
        </row>
        <row r="76">
          <cell r="A76">
            <v>2485</v>
          </cell>
          <cell r="B76" t="str">
            <v>审批中</v>
          </cell>
          <cell r="C76">
            <v>2485</v>
          </cell>
          <cell r="D76" t="str">
            <v>厚德锦城店</v>
          </cell>
          <cell r="E76" t="str">
            <v>已抄送 | 线上督导服务号-如有异议请联系区域经理（此账号不做回复） 已抄送 01/22 14:12;
已抄送 | 谢芳 已抄送 01/22 14:12;
已抄送 | 线上督导-鹿世鸣-督导部 已抄送 01/22 14:12;
已同意 | 李婕 已同意 01/22 14:40;
已同意 | 杨文慧 已同意 01/22 14:56;
已同意 | 施工监理-范钟欣-13817733545 已同意 01/31 17:47;
已同意 | 王伟清 已同意 01/31 17:50;
已同意 | 刘崇宇-18616022203-督导部 已同意 02/01 18:43;
已同意 | 蔡文佳-18916500662-线下运营部 已同意 02/01 20:25;
已同意 | 线下堂食助理-婷婷 已同意 02/02 10:09;
已同意 | 单玮-13816935059-督导部 已同意 02/02 16:17;
已抄送 | 卢家豪 已抄送 02/02 16:17;
已抄送 | 抖音&amp;快手-周幂-17521714387 已抄送 02/02 16:17;
已同意 | 苏磊 已同意 02/02 16:17;
已抄送 | 翁嘉隆-线上运营总监-13611699917 已抄送 02/02 16:17</v>
          </cell>
        </row>
        <row r="77">
          <cell r="A77">
            <v>2276</v>
          </cell>
          <cell r="B77" t="str">
            <v>已通过</v>
          </cell>
          <cell r="C77">
            <v>2276</v>
          </cell>
          <cell r="D77" t="str">
            <v>荆门中天街店</v>
          </cell>
          <cell r="E77" t="str">
            <v>已抄送 | 线上督导服务号-如有异议请联系区域经理（此账号不做回复） 已抄送 01/22 14:38;
已抄送 | 谢芳 已抄送 01/22 14:38;
已抄送 | 线上督导-鹿世鸣-督导部 已抄送 01/22 14:38;
已同意 | 李婕 已同意 01/22 14:40;
已同意 | 杨文慧 已同意 01/22 14:55;
已同意 | 施工监理-范钟欣-13817733545 已同意 01/22 14:59;
已同意 | 王伟清 已同意 01/22 15:00;
已同意 | 刘崇宇-18616022203-督导部 已同意 01/22 17:24;
已同意 | 蔡文佳-18916500662-线下运营部 已同意 01/22 22:08;
已同意 | 线下堂食助理-婷婷 已同意 01/23 09:56;
已同意 | 单玮-13816935059-督导部 已同意 01/23 16:39;
已抄送 | 卢家豪 已抄送 01/23 16:39;
已抄送 | 抖音&amp;快手-周幂-17521714387 已抄送 01/23 16:39;
已同意 | 苏磊 已同意 01/23 16:41;
已抄送 | 翁嘉隆-线上运营总监-13611699917 已抄送 01/23 16:41;
已同意 | 陈宇航-线上助理-18350349892 三平台建店完成 已同意 01/28 12:16;
已抄送 | 谢芳 已抄送 01/28 12:16;
已抄送 | 黄琪艳 已抄送 01/28 12:16;
已抄送 | 王京海 已抄送 01/28 12:16</v>
          </cell>
        </row>
        <row r="78">
          <cell r="A78">
            <v>2195</v>
          </cell>
          <cell r="B78" t="str">
            <v>已通过</v>
          </cell>
          <cell r="C78">
            <v>2195</v>
          </cell>
          <cell r="D78" t="str">
            <v>武清荔隆店</v>
          </cell>
          <cell r="E78" t="str">
            <v>已抄送 | 线上督导服务号-如有异议请联系区域经理（此账号不做回复） 已抄送 01/22 15:08;
已抄送 | 谢芳 已抄送 01/22 15:08;
已抄送 | 线上督导-鹿世鸣-督导部 已抄送 01/22 15:08;
已同意 | 贺龙娇 已同意 01/22 17:39;
已同意 | 杨文慧 已同意 01/22 18:41;
已同意 | 施工监理-范钟欣-13817733545 已同意 01/23 13:35;
已同意 | 王伟清 已同意 01/23 13:38;
已同意 | 刘崇宇-18616022203-督导部 已同意 01/30 13:47;
已同意 | 蔡文佳-18916500662-线下运营部 已同意 01/30 16:12;
已同意 | 线下堂食助理-婷婷 已同意 01/30 16:13;
已同意 | 单玮-13816935059-督导部 已同意 01/30 17:21;
已抄送 | 卢家豪 已抄送 01/30 17:21;
已抄送 | 抖音&amp;快手-周幂-17521714387 已抄送 01/30 17:21;
已同意 | 苏磊 已同意 01/30 17:21;
已抄送 | 翁嘉隆-线上运营总监-13611699917 已抄送 01/30 17:21;
已同意 | 陈宇航-线上助理-18350349892 三平台建店完成 已同意 02/05 11:25;
已抄送 | 谢芳 已抄送 02/05 11:25;
已抄送 | 黄琪艳 已抄送 02/05 11:25;
已抄送 | 王京海 已抄送 02/05 11:25</v>
          </cell>
        </row>
        <row r="79">
          <cell r="A79">
            <v>2489</v>
          </cell>
          <cell r="B79" t="str">
            <v>已通过</v>
          </cell>
          <cell r="C79">
            <v>2489</v>
          </cell>
          <cell r="D79" t="str">
            <v>阳光新界店</v>
          </cell>
          <cell r="E79" t="str">
            <v>已抄送 | 线上督导服务号-如有异议请联系区域经理（此账号不做回复） 已抄送 01/22 15:14;
已抄送 | 谢芳 已抄送 01/22 15:14;
已抄送 | 线上督导-鹿世鸣-督导部 已抄送 01/22 15:14;
已同意 | 李婕 已同意 01/23 20:21;
已同意 | 杨文慧 已同意 01/23 20:23;
已同意 | 施工监理-范钟欣-13817733545 已同意 01/27 10:36;
已同意 | 王伟清 已同意 01/27 11:09;
已同意 | 刘崇宇-18616022203-督导部 已同意 01/30 13:45;
已同意 | 蔡文佳-18916500662-线下运营部 已同意 01/30 16:06;
已同意 | 线下堂食助理-婷婷 已同意 01/30 16:08;
已同意 | 单玮-13816935059-督导部 已同意 01/30 18:32;
已抄送 | 卢家豪 已抄送 01/30 18:32;
已抄送 | 抖音&amp;快手-周幂-17521714387 已抄送 01/30 18:32;
已同意 | 苏磊 已同意 01/30 18:34;
已抄送 | 翁嘉隆-线上运营总监-13611699917 已抄送 01/30 18:34;
已同意 | 陈宇航-线上助理-18350349892 三平台建店完成 已同意 02/05 11:25;
已抄送 | 谢芳 已抄送 02/05 11:25;
已抄送 | 黄琪艳 已抄送 02/05 11:25;
已抄送 | 王京海 已抄送 02/05 11:25</v>
          </cell>
        </row>
        <row r="80">
          <cell r="A80">
            <v>2514</v>
          </cell>
          <cell r="B80" t="str">
            <v>已通过</v>
          </cell>
          <cell r="C80">
            <v>2514</v>
          </cell>
          <cell r="D80" t="str">
            <v>盛唐臻品</v>
          </cell>
          <cell r="E80" t="str">
            <v>已抄送 | 线上督导服务号-如有异议请联系区域经理（此账号不做回复） 已抄送 01/22 15:33;
已抄送 | 谢芳 已抄送 01/22 15:33;
已抄送 | 线上督导-鹿世鸣-督导部 已抄送 01/22 15:33;
已同意 | 贺龙娇 已同意 01/22 17:37;
已同意 | 杨文慧 已同意 01/22 18:41;
已同意 | 施工监理-范钟欣-13817733545 已同意 01/23 10:20;
已同意 | 王伟清 已同意 01/23 10:24;
已同意 | 刘崇宇-18616022203-督导部 已同意 01/27 11:49;
已同意 | 蔡文佳-18916500662-线下运营部 已同意 01/27 20:40;
已同意 | 休息中-线下堂食助理-婷婷 已同意 01/28 09:56;
已同意 | 单玮-13816935059-督导部 已同意 01/28 10:19;
已抄送 | 卢家豪 已抄送 01/28 10:19;
已抄送 | 抖音&amp;快手-周幂-17521714387 已抄送 01/28 10:19;
已同意 | 苏磊 已同意 01/28 10:19;
已抄送 | 翁嘉隆-线上运营总监-13611699917 已抄送 01/28 10:19;
已同意 | 陈宇航-线上助理-18350349892 三平台建店完成 已同意 01/31 11:20;
已抄送 | 谢芳 已抄送 01/31 11:20;
已抄送 | 黄琪艳 已抄送 01/31 11:20;
已抄送 | 王京海 已抄送 01/31 11:20</v>
          </cell>
        </row>
        <row r="81">
          <cell r="A81">
            <v>2103</v>
          </cell>
          <cell r="B81" t="str">
            <v>审批中</v>
          </cell>
          <cell r="C81">
            <v>2103</v>
          </cell>
          <cell r="D81" t="str">
            <v>华南理工店</v>
          </cell>
          <cell r="E81" t="str">
            <v>已抄送 | 线上督导服务号-如有异议请联系区域经理（此账号不做回复） 已抄送 01/23 10:56;
已抄送 | 谢芳 已抄送 01/23 10:56;
已抄送 | 线上督导-鹿世鸣-督导部 已抄送 01/23 10:56;
已同意 | 李婕 已同意 01/23 15:37;
已同意 | 杨文慧 已同意 01/23 15:37;
已同意 | 施工监理-范钟欣-13817733545 已同意 01/24 09:23;
已同意 | 王伟清 已同意 01/24 09:40;
已同意 | 刘崇宇-18616022203-督导部 已同意 01/26 11:45;
已同意 | 蔡文佳-18916500662-线下运营部 已同意 01/26 17:36;
已同意 | 线下堂食助理-婷婷 已同意 01/26 17:40;
已同意 | 单玮-13816935059-督导部 已同意 01/26 18:50;
已抄送 | 卢家豪 已抄送 01/26 18:50;
已抄送 | 抖音&amp;快手-周幂-17521714387 已抄送 01/26 18:50;
已同意 | 苏磊 已同意 01/27 09:42;
已抄送 | 翁嘉隆-线上运营总监-13611699917 已抄送 01/27 09:42</v>
          </cell>
        </row>
        <row r="82">
          <cell r="A82">
            <v>1237</v>
          </cell>
          <cell r="B82" t="str">
            <v>审批中</v>
          </cell>
          <cell r="C82">
            <v>1237</v>
          </cell>
          <cell r="D82" t="str">
            <v>淮北步行街店</v>
          </cell>
          <cell r="E82" t="str">
            <v>已抄送 | 线上督导服务号-如有异议请联系区域经理（此账号不做回复） 已抄送 01/23 16:59;
已抄送 | 谢芳 已抄送 01/23 16:59;
已抄送 | 线上督导-鹿世鸣-督导部 已抄送 01/23 16:59;
已同意 | 李婕 已同意 01/30 10:39;
已同意 | 杨文慧 已同意 01/30 10:43;
已同意 | 施工监理-范钟欣-13817733545 已同意 01/30 10:50;
已同意 | 刘崇宇-18616022203-督导部 已同意 01/30 13:43;
已同意 | 蔡文佳-18916500662-线下运营部 已同意 01/30 16:16;
已同意 | 线下堂食助理-婷婷 已同意 01/30 16:28;
已同意 | 单玮-13816935059-督导部 已同意 01/30 16:48;
已抄送 | 卢家豪 已抄送 01/30 16:48;
已抄送 | 抖音&amp;快手-周幂-17521714387 已抄送 01/30 16:48;
已同意 | 苏磊 已同意 01/30 17:04;
已抄送 | 翁嘉隆-线上运营总监-13611699917 已抄送 01/30 17:04</v>
          </cell>
        </row>
        <row r="83">
          <cell r="A83">
            <v>2300</v>
          </cell>
          <cell r="B83" t="str">
            <v>审批中</v>
          </cell>
          <cell r="C83">
            <v>2300</v>
          </cell>
          <cell r="D83" t="str">
            <v>人民北路店</v>
          </cell>
          <cell r="E83" t="str">
            <v>已抄送 | 线上督导服务号-如有异议请联系区域经理（此账号不做回复） 已抄送 01/23 17:15;
已抄送 | 谢芳 已抄送 01/23 17:15;
已抄送 | 线上督导-鹿世鸣-督导部 已抄送 01/23 17:15;
已同意 | 贺龙娇 已同意 02/03 11:49;
已同意 | 杨文慧 已同意 02/03 11:52;
已同意 | 施工监理-范钟欣-13817733545 已同意 02/03 11:58;
已同意 | 王伟清 已同意 02/03 12:28;
已同意 | 刘崇宇-18616022203-督导部 已同意 02/03 15:23;
已同意 | 蔡文佳-18916500662-线下运营部 已同意 02/03 18:50;
已同意 | 线下堂食助理-婷婷 已同意 02/03 18:52;
已同意 | 单玮-13816935059-督导部 已同意 02/03 19:28;
已抄送 | 卢家豪 已抄送 02/03 19:28;
已抄送 | 抖音&amp;快手-周幂-17521714387 已抄送 02/03 19:28;
已同意 | 苏磊 已同意 02/03 21:14;
已抄送 | 翁嘉隆-线上运营总监-13611699917 已抄送 02/03 21:14</v>
          </cell>
        </row>
        <row r="84">
          <cell r="A84">
            <v>2575</v>
          </cell>
          <cell r="B84" t="str">
            <v>审批中</v>
          </cell>
          <cell r="C84">
            <v>2575</v>
          </cell>
          <cell r="D84" t="str">
            <v>赤坎店</v>
          </cell>
          <cell r="E84" t="str">
            <v>已抄送 | 线上督导服务号-如有异议请联系区域经理（此账号不做回复） 已抄送 01/24 10:40;
已抄送 | 谢芳 已抄送 01/24 10:40;
已抄送 | 线上督导-鹿世鸣-督导部 已抄送 01/24 10:40;
已同意 | 李婕 已同意 01/26 19:11;
已同意 | 杨文慧 已同意 01/26 19:18;
已同意 | 施工监理-范钟欣-13817733545 已同意 02/02 18:27;
已同意 | 王伟清 已同意 02/02 22:12;
已同意 | 刘崇宇-18616022203-督导部 已同意 02/03 15:25;
已同意 | 蔡文佳-18916500662-线下运营部 已同意 02/03 18:43;
已同意 | 线下堂食助理-婷婷 已同意 02/03 18:48;
已同意 | 单玮-13816935059-督导部 已同意 02/03 19:40;
已抄送 | 卢家豪 已抄送 02/03 19:40;
已抄送 | 抖音&amp;快手-周幂-17521714387 已抄送 02/03 19:40;
已同意 | 苏磊 已同意 02/03 21:14;
已抄送 | 翁嘉隆-线上运营总监-13611699917 已抄送 02/03 21:14</v>
          </cell>
        </row>
        <row r="85">
          <cell r="A85">
            <v>231</v>
          </cell>
          <cell r="B85" t="str">
            <v>已通过</v>
          </cell>
          <cell r="C85">
            <v>231</v>
          </cell>
          <cell r="D85" t="str">
            <v>李沧店</v>
          </cell>
          <cell r="E85" t="str">
            <v>已抄送 | 线上督导服务号-如有异议请联系区域经理（此账号不做回复） 已抄送 01/24 14:02;
已抄送 | 谢芳 已抄送 01/24 14:02;
已抄送 | 线上督导-鹿世鸣-督导部 已抄送 01/24 14:02;
已转审 | 贺龙娇 已转审 01/30 13:49;
已同意 | 李婕 已同意 02/04 18:46;
已同意 | 杨文慧 已同意 02/04 18:48;
已同意 | 施工监理-范钟欣-13817733545 已同意 02/05 09:40;
已同意 | 刘崇宇-18616022203-督导部 已同意 02/05 14:56;
已同意 | 蔡文佳-18916500662-线下运营部 已同意 02/05 15:15;
已同意 | 休息中线下堂食助理-婷婷 已同意 02/05 15:26;
已同意 | 单玮-13816935059-督导部 已同意 02/05 16:45;
已抄送 | 卢家豪 已抄送 02/05 16:45;
已抄送 | 抖音&amp;快手-周幂-17521714387 已抄送 02/05 16:45;
已同意 | 苏磊 已同意 02/05 16:45;
已抄送 | 翁嘉隆-线上运营总监-13611699917 已抄送 02/05 16:45;
已同意 | 陈宇航-线上助理-18350349892 续签合同 已同意 02/06 11:11;
已抄送 | 谢芳 已抄送 02/06 11:11;
已抄送 | 黄琪艳 已抄送 02/06 11:11;
已抄送 | 王京海 已抄送 02/06 11:11</v>
          </cell>
        </row>
        <row r="86">
          <cell r="A86">
            <v>2376</v>
          </cell>
          <cell r="B86" t="str">
            <v>已通过</v>
          </cell>
          <cell r="C86">
            <v>2376</v>
          </cell>
          <cell r="D86" t="str">
            <v>东立国际店</v>
          </cell>
          <cell r="E86" t="str">
            <v>已抄送 | 线上督导服务号-如有异议请联系区域经理（此账号不做回复） 已抄送 01/25 10:44;
已抄送 | 谢芳 已抄送 01/25 10:44;
已抄送 | 线上督导-鹿世鸣-督导部 已抄送 01/25 10:44;
已同意 | 李婕 已同意 01/26 19:06;
已同意 | 杨文慧 已同意 01/26 19:16;
已同意 | 施工监理-范钟欣-13817733545 已同意 01/27 09:12;
已同意 | 王伟清 已同意 01/27 09:13;
已同意 | 刘崇宇-18616022203-督导部 已同意 01/30 13:46;
已同意 | 蔡文佳-18916500662-线下运营部 已同意 01/30 16:08;
已同意 | 线下堂食助理-婷婷 已同意 01/30 16:14;
已同意 | 单玮-13816935059-督导部 已同意 01/30 16:55;
已抄送 | 卢家豪 已抄送 01/30 16:55;
已抄送 | 抖音&amp;快手-周幂-17521714387 已抄送 01/30 16:55;
已同意 | 苏磊 已同意 01/30 17:04;
已抄送 | 翁嘉隆-线上运营总监-13611699917 已抄送 01/30 17:04;
已同意 | 陈宇航-线上助理-18350349892 门店换证 已同意 02/05 11:46;
已抄送 | 谢芳 已抄送 02/05 11:46;
已抄送 | 黄琪艳 已抄送 02/05 11:46;
已抄送 | 王京海 已抄送 02/05 11:46</v>
          </cell>
        </row>
        <row r="87">
          <cell r="A87">
            <v>2413</v>
          </cell>
          <cell r="B87" t="str">
            <v>审批中</v>
          </cell>
          <cell r="C87">
            <v>2413</v>
          </cell>
          <cell r="D87" t="str">
            <v>海棠湾店</v>
          </cell>
          <cell r="E87" t="str">
            <v>已抄送 | 线上督导服务号-如有异议请联系区域经理（此账号不做回复） 已抄送 01/27 13:49;
已抄送 | 谢芳 已抄送 01/27 13:49;
已抄送 | 线上督导-鹿世鸣-督导部 已抄送 01/27 13:49;
已同意 | 贺龙娇 已同意 01/27 14:09;
已同意 | 杨文慧 已同意 01/27 14:09;
已同意 | 施工监理-范钟欣-13817733545 已同意 02/03 14:57;
已同意 | 王伟清 已同意 02/03 14:59;
已同意 | 刘崇宇-18616022203-督导部 已同意 02/03 15:22;
已同意 | 蔡文佳-18916500662-线下运营部 已同意 02/03 18:55;
已同意 | 线下堂食助理-婷婷 已同意 02/03 19:00;
已同意 | 单玮-13816935059-督导部 已同意 02/03 19:21;
已抄送 | 卢家豪 已抄送 02/03 19:21;
已抄送 | 抖音&amp;快手-周幂-17521714387 已抄送 02/03 19:21;
已同意 | 苏磊 已同意 02/03 21:14;
已抄送 | 翁嘉隆-线上运营总监-13611699917 已抄送 02/03 21:14</v>
          </cell>
        </row>
        <row r="88">
          <cell r="A88">
            <v>2504</v>
          </cell>
          <cell r="B88" t="str">
            <v>审批中</v>
          </cell>
          <cell r="C88">
            <v>2504</v>
          </cell>
          <cell r="D88" t="str">
            <v>东方巴黎店</v>
          </cell>
          <cell r="E88" t="str">
            <v>已抄送 | 线上督导服务号-如有异议请联系区域经理（此账号不做回复） 已抄送 01/27 13:50;
已抄送 | 谢芳 已抄送 01/27 13:50;
已抄送 | 线上督导-鹿世鸣-督导部 已抄送 01/27 13:50;
已转审 | 贺龙娇 已转审 01/27 17:56;
已同意 | 李婕 已同意 01/27 19:46;
已同意 | 杨文慧 已同意 01/28 09:41;
已同意 | 施工监理-范钟欣-13817733545 已同意 02/02 09:46;
已同意 | 王伟清 已同意 02/02 10:00;
已同意 | 刘崇宇-18616022203-督导部 已同意 02/02 12:36;
已同意 | 蔡文佳-18916500662-线下运营部 已同意 02/02 15:49;
已同意 | 线下堂食助理-婷婷 已同意 02/02 15:57;
已同意 | 单玮-13816935059-督导部 已同意 02/03 10:12;
已抄送 | 卢家豪 已抄送 02/03 10:12;
已抄送 | 抖音&amp;快手-周幂-17521714387 已抄送 02/03 10:12;
已同意 | 苏磊 已同意 02/03 10:46;
已抄送 | 翁嘉隆-线上运营总监-13611699917 已抄送 02/03 10:46</v>
          </cell>
        </row>
        <row r="89">
          <cell r="A89">
            <v>2347</v>
          </cell>
          <cell r="B89" t="str">
            <v>审批中</v>
          </cell>
          <cell r="C89">
            <v>2347</v>
          </cell>
          <cell r="D89" t="str">
            <v>航宇店</v>
          </cell>
          <cell r="E89" t="str">
            <v>已抄送 | 线上督导服务号-如有异议请联系区域经理（此账号不做回复） 已抄送 01/27 13:51;
已抄送 | 谢芳 已抄送 01/27 13:51;
已抄送 | 线上督导-鹿世鸣-督导部 已抄送 01/27 13:51;
已同意 | 贺龙娇 已同意 01/27 14:07;
已同意 | 杨文慧 已同意 01/27 14:08;
已同意 | 施工监理-范钟欣-13817733545 已同意 01/30 14:13;
已同意 | 王伟清 已同意 01/30 14:14;
已同意 | 刘崇宇-18616022203-督导部 已同意 02/01 18:43;
已同意 | 蔡文佳-18916500662-线下运营部 已同意 02/01 20:21;
已同意 | 线下堂食助理-婷婷 已同意 02/02 10:08;
已同意 | 单玮-13816935059-督导部 已同意 02/02 16:16;
已抄送 | 卢家豪 已抄送 02/02 16:16;
已抄送 | 抖音&amp;快手-周幂-17521714387 已抄送 02/02 16:16;
已同意 | 苏磊 已同意 02/02 16:16;
已抄送 | 翁嘉隆-线上运营总监-13611699917 已抄送 02/02 16:16</v>
          </cell>
        </row>
        <row r="90">
          <cell r="A90">
            <v>2483</v>
          </cell>
          <cell r="B90" t="str">
            <v>审批中</v>
          </cell>
          <cell r="C90">
            <v>2483</v>
          </cell>
          <cell r="D90" t="str">
            <v>合工大店</v>
          </cell>
          <cell r="E90" t="str">
            <v>已抄送 | 线上督导服务号-如有异议请联系区域经理（此账号不做回复） 已抄送 01/27 15:35;
已抄送 | 谢芳 已抄送 01/27 15:35;
已抄送 | 线上督导-鹿世鸣-督导部 已抄送 01/27 15:35;
已转审 | 贺龙娇 已转审 01/27 17:55;
已同意 | 李婕 已同意 01/27 19:47;
已同意 | 杨文慧 已同意 01/28 09:41;
已同意 | 施工监理-范钟欣-13817733545 已同意 01/30 17:54;
已同意 | 王伟清 已同意 01/30 17:55;
已同意 | 刘崇宇-18616022203-督导部 已同意 02/01 18:43;
已同意 | 蔡文佳-18916500662-线下运营部 已同意 02/01 20:19;
已同意 | 线下堂食助理-婷婷 已同意 02/02 10:07;
已同意 | 单玮-13816935059-督导部 已同意 02/02 16:17;
已抄送 | 卢家豪 已抄送 02/02 16:17;
已抄送 | 抖音&amp;快手-周幂-17521714387 已抄送 02/02 16:17;
已同意 | 苏磊 已同意 02/02 16:17;
已抄送 | 翁嘉隆-线上运营总监-13611699917 已抄送 02/02 16:17</v>
          </cell>
        </row>
        <row r="91">
          <cell r="A91">
            <v>2595</v>
          </cell>
          <cell r="B91" t="str">
            <v>审批中</v>
          </cell>
          <cell r="C91">
            <v>2595</v>
          </cell>
          <cell r="D91" t="str">
            <v>玉环坎门店</v>
          </cell>
          <cell r="E91" t="str">
            <v>已抄送 | 线上督导服务号-如有异议请联系区域经理（此账号不做回复） 已抄送 01/27 15:36;
已抄送 | 谢芳 已抄送 01/27 15:36;
已抄送 | 线上督导-鹿世鸣-督导部 已抄送 01/27 15:36;
已同意 | 贺龙娇 已同意 01/28 18:39;
已同意 | 杨文慧 已同意 01/28 18:41;
已同意 | 施工监理-范钟欣-13817733545 已同意 02/03 11:51;
已同意 | 王伟清 已同意 02/03 11:52;
已同意 | 刘崇宇-18616022203-督导部 已同意 02/03 15:24;
已同意 | 蔡文佳-18916500662-线下运营部 已同意 02/03 18:48;
已同意 | 线下堂食助理-婷婷 已同意 02/03 18:49;
已同意 | 单玮-13816935059-督导部 已同意 02/03 19:31;
已抄送 | 卢家豪 已抄送 02/03 19:31;
已抄送 | 抖音&amp;快手-周幂-17521714387 已抄送 02/03 19:31;
已同意 | 苏磊 已同意 02/03 21:14;
已抄送 | 翁嘉隆-线上运营总监-13611699917 已抄送 02/03 21:14</v>
          </cell>
        </row>
        <row r="92">
          <cell r="A92">
            <v>655</v>
          </cell>
          <cell r="B92" t="str">
            <v>已通过</v>
          </cell>
          <cell r="C92">
            <v>655</v>
          </cell>
          <cell r="D92" t="str">
            <v>葵涌店</v>
          </cell>
          <cell r="E92" t="str">
            <v>已抄送 | 线上督导服务号-如有异议请联系区域经理（此账号不做回复） 已抄送 01/27 16:35;
已抄送 | 谢芳 已抄送 01/27 16:35;
已抄送 | 线上督导-鹿世鸣-督导部 已抄送 01/27 16:35;
已转审 | 贺龙娇 已转审 01/30 13:49;
已同意 | 李婕 已同意 01/30 16:11;
已同意 | 杨文慧 已同意 01/30 16:24;
已同意 | 施工监理-范钟欣-13817733545 已同意 01/30 16:27;
已同意 | 刘崇宇-18616022203-督导部 已同意 02/01 18:44;
已同意 | 蔡文佳-18916500662-线下运营部 已同意 02/01 20:30;
已同意 | 线下堂食助理-婷婷 已同意 02/02 10:36;
已同意 | 单玮-13816935059-督导部 已同意 02/02 16:17;
已抄送 | 卢家豪 已抄送 02/02 16:17;
已抄送 | 抖音&amp;快手-周幂-17521714387 已抄送 02/02 16:17;
已同意 | 苏磊 已同意 02/02 16:17;
已抄送 | 翁嘉隆-线上运营总监-13611699917 已抄送 02/02 16:17;
已同意 | 陈宇航-线上助理-18350349892 不用建店，用老店 已同意 02/02 19:21;
已抄送 | 谢芳 已抄送 02/02 19:21;
已抄送 | 黄琪艳 已抄送 02/02 19:21;
已抄送 | 王京海 已抄送 02/02 19:21</v>
          </cell>
        </row>
        <row r="93">
          <cell r="A93">
            <v>2546</v>
          </cell>
          <cell r="B93" t="str">
            <v>审批中</v>
          </cell>
          <cell r="C93">
            <v>2546</v>
          </cell>
          <cell r="D93" t="str">
            <v>辛庄店</v>
          </cell>
          <cell r="E93" t="str">
            <v>已抄送 | 线上督导服务号-如有异议请联系区域经理（此账号不做回复） 已抄送 01/28 14:48;
已抄送 | 谢芳 已抄送 01/28 14:48;
已抄送 | 线上督导-鹿世鸣-督导部 已抄送 01/28 14:48;
已转审 | 贺龙娇 已转审 01/28 18:41;
已同意 | 李婕 已同意 01/30 19:15;
已同意 | 杨文慧 已同意 01/30 19:18;
已同意 | 施工监理-范钟欣-13817733545 已同意 02/02 14:48;
已同意 | 王伟清 已同意 02/02 14:51;
已同意 | 刘崇宇-18616022203-督导部 已同意 02/02 17:59;
已同意 | 蔡文佳-18916500662-线下运营部 已同意 02/02 21:25;
已同意 | 线下堂食助理-婷婷 已同意 02/03 10:00;
已同意 | 单玮-13816935059-督导部 已同意 02/03 10:12;
已抄送 | 卢家豪 已抄送 02/03 10:12;
已抄送 | 抖音&amp;快手-周幂-17521714387 已抄送 02/03 10:12;
已同意 | 苏磊 已同意 02/03 10:46;
已抄送 | 翁嘉隆-线上运营总监-13611699917 已抄送 02/03 10:46</v>
          </cell>
        </row>
        <row r="94">
          <cell r="A94">
            <v>2549</v>
          </cell>
          <cell r="B94" t="str">
            <v>审批中</v>
          </cell>
          <cell r="C94">
            <v>2549</v>
          </cell>
          <cell r="D94" t="str">
            <v>万科城店</v>
          </cell>
          <cell r="E94" t="str">
            <v>已抄送 | 线上督导服务号-如有异议请联系区域经理（此账号不做回复） 已抄送 01/28 15:13;
已抄送 | 谢芳 已抄送 01/28 15:13;
已抄送 | 线上督导-鹿世鸣-督导部 已抄送 01/28 15:13;
已同意 | 贺龙娇 已同意 02/02 16:08;
已同意 | 杨文慧 已同意 02/02 16:48;
已同意 | 施工监理-范钟欣-13817733545 已同意 02/02 16:56;
已同意 | 王伟清 已同意 02/02 16:56;
已同意 | 刘崇宇-18616022203-督导部 已同意 02/02 17:56;
已同意 | 蔡文佳-18916500662-线下运营部 已同意 02/03 18:45;
已同意 | 线下堂食助理-婷婷 已同意 02/03 18:49;
已同意 | 单玮-13816935059-督导部 已同意 02/03 19:35;
已抄送 | 卢家豪 已抄送 02/03 19:35;
已抄送 | 抖音&amp;快手-周幂-17521714387 已抄送 02/03 19:35;
已同意 | 苏磊 已同意 02/03 21:14;
已抄送 | 翁嘉隆-线上运营总监-13611699917 已抄送 02/03 21:14</v>
          </cell>
        </row>
        <row r="95">
          <cell r="A95">
            <v>1835</v>
          </cell>
          <cell r="B95" t="str">
            <v>已通过</v>
          </cell>
          <cell r="C95">
            <v>1835</v>
          </cell>
          <cell r="D95" t="str">
            <v>凤岗雁田店</v>
          </cell>
          <cell r="E95" t="str">
            <v>已抄送 | 线上督导服务号-如有异议请联系区域经理（此账号不做回复） 已抄送 01/28 17:13;
已抄送 | 谢芳 已抄送 01/28 17:13;
已抄送 | 线上督导-鹿世鸣-督导部 已抄送 01/28 17:13;
已转审 | 贺龙娇 已转审 01/30 13:50;
已同意 | 李婕 已同意 02/04 18:46;
已同意 | 杨文慧 已同意 02/04 18:47;
已同意 | 施工监理-范钟欣-13817733545 已同意 02/05 09:39;
已同意 | 王伟清 已同意 02/05 09:39;
已同意 | 刘崇宇-18616022203-督导部 已同意 02/05 14:56;
已同意 | 蔡文佳-18916500662-线下运营部 已同意 02/05 18:16;
已同意 | 休息中线下堂食助理-婷婷 已同意 02/05 18:43;
已同意 | 单玮-13816935059-督导部 已同意 02/05 20:32;
已抄送 | 卢家豪 已抄送 02/05 20:32;
已抄送 | 抖音&amp;快手-周幂-17521714387 已抄送 02/05 20:32;
已同意 | 苏磊 已同意 02/05 20:32;
已抄送 | 翁嘉隆-线上运营总监-13611699917 已抄送 02/05 20:32;
已同意 | 陈宇航-线上助理-18350349892 门店换证 已同意 02/06 11:12;
已抄送 | 谢芳 已抄送 02/06 11:12;
已抄送 | 黄琪艳 已抄送 02/06 11:12;
已抄送 | 王京海 已抄送 02/06 11:12</v>
          </cell>
        </row>
        <row r="96">
          <cell r="A96">
            <v>1813</v>
          </cell>
          <cell r="B96" t="str">
            <v>已通过</v>
          </cell>
          <cell r="C96">
            <v>1813</v>
          </cell>
          <cell r="D96" t="str">
            <v>修水店</v>
          </cell>
          <cell r="E96" t="str">
            <v>已抄送 | 线上督导服务号-如有异议请联系区域经理（此账号不做回复） 已抄送 01/30 10:37;
已抄送 | 谢芳 已抄送 01/30 10:37;
已抄送 | 线上督导-鹿世鸣-督导部 已抄送 01/30 10:37;
已同意 | 贺龙娇 已同意 01/30 20:03;
已同意 | 杨文慧 已同意 01/30 20:04;
已同意 | 施工监理-范钟欣-13817733545 已同意 02/04 09:19;
已同意 | 刘崇宇-18616022203-督导部 已同意 02/05 17:35;
已同意 | 蔡文佳-18916500662-线下运营部 已同意 02/05 18:11;
已同意 | 休息中线下堂食助理-婷婷 已同意 02/05 18:12;
已同意 | 单玮-13816935059-督导部 已同意 02/05 18:43;
已抄送 | 卢家豪 已抄送 02/05 18:43;
已抄送 | 抖音&amp;快手-周幂-17521714387 已抄送 02/05 18:43;
已同意 | 苏磊 已同意 02/05 18:43;
已抄送 | 翁嘉隆-线上运营总监-13611699917 已抄送 02/05 18:43;
已同意 | 陈宇航-线上助理-18350349892 换证，不用建店 已同意 02/06 11:10;
已抄送 | 谢芳 已抄送 02/06 11:10;
已抄送 | 黄琪艳 已抄送 02/06 11:10;
已抄送 | 王京海 已抄送 02/06 11:10</v>
          </cell>
        </row>
        <row r="97">
          <cell r="A97">
            <v>2153</v>
          </cell>
          <cell r="B97" t="str">
            <v>审批中</v>
          </cell>
          <cell r="C97">
            <v>2153</v>
          </cell>
          <cell r="D97" t="str">
            <v>蓬江万达店</v>
          </cell>
          <cell r="E97" t="str">
            <v>已抄送 | 线上督导服务号-如有异议请联系区域经理（此账号不做回复） 已抄送 01/30 10:40;
已抄送 | 谢芳 已抄送 01/30 10:40;
已抄送 | 线上督导-鹿世鸣-督导部 已抄送 01/30 10:40;
已同意 | 贺龙娇 已同意 01/30 13:39;
已同意 | 杨文慧 已同意 01/30 13:51;
已同意 | 施工监理-范钟欣-13817733545 已同意 01/30 14:05;
已同意 | 王伟清 已同意 01/30 14:14;
已同意 | 刘崇宇-18616022203-督导部 已同意 02/02 12:38;
已同意 | 蔡文佳-18916500662-线下运营部 已同意 02/02 15:44;
已同意 | 线下堂食助理-婷婷 已同意 02/02 15:59;
已同意 | 单玮-13816935059-督导部 已同意 02/02 17:50;
已抄送 | 卢家豪 已抄送 02/02 17:50;
已抄送 | 抖音&amp;快手-周幂-17521714387 已抄送 02/02 17:50;
已同意 | 苏磊 已同意 02/02 17:50;
已抄送 | 翁嘉隆-线上运营总监-13611699917 已抄送 02/02 17:50</v>
          </cell>
        </row>
        <row r="98">
          <cell r="A98">
            <v>2537</v>
          </cell>
          <cell r="B98" t="str">
            <v>审批中</v>
          </cell>
          <cell r="C98">
            <v>2537</v>
          </cell>
          <cell r="D98" t="str">
            <v>栖乐荟店</v>
          </cell>
          <cell r="E98" t="str">
            <v>已抄送 | 线上督导服务号-如有异议请联系区域经理（此账号不做回复） 已抄送 01/30 10:41;
已抄送 | 谢芳 已抄送 01/30 10:41;
已抄送 | 线上督导-鹿世鸣-督导部 已抄送 01/30 10:41;
已转审 | 贺龙娇 已转审 01/30 13:40;
已同意 | 李婕 已同意 01/30 19:14;
已同意 | 杨文慧 已同意 01/30 19:18;
已同意 | 施工监理-范钟欣-13817733545 已同意 02/03 13:47;
已同意 | 王伟清 已同意 02/03 13:49;
已同意 | 刘崇宇-18616022203-督导部 已同意 02/03 15:23;
已同意 | 蔡文佳-18916500662-线下运营部 已同意 02/03 18:52;
已同意 | 线下堂食助理-婷婷 已同意 02/03 18:53;
已同意 | 单玮-13816935059-督导部 已同意 02/03 19:26;
已抄送 | 卢家豪 已抄送 02/03 19:26;
已抄送 | 抖音&amp;快手-周幂-17521714387 已抄送 02/03 19:26;
已同意 | 苏磊 已同意 02/03 21:14;
已抄送 | 翁嘉隆-线上运营总监-13611699917 已抄送 02/03 21:14</v>
          </cell>
        </row>
        <row r="99">
          <cell r="A99">
            <v>2441</v>
          </cell>
          <cell r="B99" t="str">
            <v>审批中</v>
          </cell>
          <cell r="C99">
            <v>2441</v>
          </cell>
          <cell r="D99" t="str">
            <v>学院店</v>
          </cell>
          <cell r="E99" t="str">
            <v>已抄送 | 线上督导服务号-如有异议请联系区域经理（此账号不做回复） 已抄送 01/30 10:42;
已抄送 | 谢芳 已抄送 01/30 10:42;
已抄送 | 线上督导-鹿世鸣-督导部 已抄送 01/30 10:42;
已同意 | 贺龙娇 已同意 01/30 13:42;
已同意 | 杨文慧 已同意 01/30 13:51</v>
          </cell>
        </row>
        <row r="100">
          <cell r="A100">
            <v>2540</v>
          </cell>
          <cell r="B100" t="str">
            <v>审批中</v>
          </cell>
          <cell r="C100">
            <v>2540</v>
          </cell>
          <cell r="D100" t="str">
            <v>华世新城店</v>
          </cell>
          <cell r="E100" t="str">
            <v>已抄送 | 线上督导服务号-如有异议请联系区域经理（此账号不做回复） 已抄送 01/30 10:45;
已抄送 | 谢芳 已抄送 01/30 10:45;
已抄送 | 线上督导-鹿世鸣-督导部 已抄送 01/30 10:45;
已同意 | 贺龙娇 已同意 01/30 13:44;
已同意 | 杨文慧 已同意 01/30 13:52;
已同意 | 施工监理-范钟欣-13817733545 已同意 01/31 11:09;
已同意 | 王伟清 已同意 01/31 11:17;
已同意 | 刘崇宇-18616022203-督导部 已同意 02/01 18:44;
已同意 | 蔡文佳-18916500662-线下运营部 已同意 02/01 20:16;
已同意 | 线下堂食助理-婷婷 已同意 02/02 10:06;
已同意 | 单玮-13816935059-督导部 已同意 02/02 16:17;
已抄送 | 卢家豪 已抄送 02/02 16:17;
已抄送 | 抖音&amp;快手-周幂-17521714387 已抄送 02/02 16:17;
已同意 | 苏磊 已同意 02/02 16:17;
已抄送 | 翁嘉隆-线上运营总监-13611699917 已抄送 02/02 16:17</v>
          </cell>
        </row>
        <row r="101">
          <cell r="A101">
            <v>2488</v>
          </cell>
          <cell r="B101" t="str">
            <v>审批中</v>
          </cell>
          <cell r="C101">
            <v>2488</v>
          </cell>
          <cell r="D101" t="str">
            <v>塔坛店</v>
          </cell>
          <cell r="E101" t="str">
            <v>已抄送 | 线上督导服务号-如有异议请联系区域经理（此账号不做回复） 已抄送 01/30 11:25;
已抄送 | 谢芳 已抄送 01/30 11:25;
已抄送 | 线上督导-鹿世鸣-督导部 已抄送 01/30 11:25;
已同意 | 贺龙娇 已同意 01/30 13:45;
已同意 | 杨文慧 已同意 01/30 13:52;
已同意 | 施工监理-范钟欣-13817733545 已同意 01/30 17:31;
已同意 | 王伟清 已同意 01/30 17:32;
已同意 | 刘崇宇-18616022203-督导部 已同意 02/02 12:37;
已同意 | 蔡文佳-18916500662-线下运营部 已同意 02/02 15:47;
已同意 | 线下堂食助理-婷婷 已同意 02/02 15:58;
已同意 | 单玮-13816935059-督导部 已同意 02/02 17:24;
已抄送 | 卢家豪 已抄送 02/02 17:24;
已抄送 | 抖音&amp;快手-周幂-17521714387 已抄送 02/02 17:24;
已同意 | 苏磊 已同意 02/02 17:24;
已抄送 | 翁嘉隆-线上运营总监-13611699917 已抄送 02/02 17:24</v>
          </cell>
        </row>
        <row r="102">
          <cell r="A102">
            <v>2409</v>
          </cell>
          <cell r="B102" t="str">
            <v>审批中</v>
          </cell>
          <cell r="C102">
            <v>2409</v>
          </cell>
          <cell r="D102" t="str">
            <v>北二环店</v>
          </cell>
          <cell r="E102" t="str">
            <v>已抄送 | 线上督导服务号-如有异议请联系区域经理（此账号不做回复） 已抄送 01/30 11:49;
已抄送 | 谢芳 已抄送 01/30 11:49;
已抄送 | 线上督导-鹿世鸣-督导部 已抄送 01/30 11:49;
已转审 | 贺龙娇 已转审 01/30 13:46;
已同意 | 李婕 已同意 02/04 12:16;
已同意 | 杨文慧 已同意 02/04 12:22;
已同意 | 施工监理-范钟欣-13817733545 已同意 02/04 13:33;
已同意 | 王伟清 已同意 02/04 15:01;
已同意 | 刘崇宇-18616022203-督导部 已同意 02/04 18:10;
已同意 | 蔡文佳-18916500662-线下运营部 已同意 02/04 18:41;
已同意 | 线下堂食助理-婷婷 已同意 02/04 18:59;
已同意 | 单玮-13816935059-督导部 已同意 02/04 19:17;
已抄送 | 卢家豪 已抄送 02/04 19:17;
已抄送 | 抖音&amp;快手-周幂-17521714387 已抄送 02/04 19:17;
已同意 | 苏磊 已同意 02/04 19:47;
已抄送 | 翁嘉隆-线上运营总监-13611699917 已抄送 02/04 19:47</v>
          </cell>
        </row>
        <row r="103">
          <cell r="A103">
            <v>2288</v>
          </cell>
          <cell r="B103" t="str">
            <v>审批中</v>
          </cell>
          <cell r="C103">
            <v>2288</v>
          </cell>
          <cell r="D103" t="str">
            <v>万达广场店</v>
          </cell>
          <cell r="E103" t="str">
            <v>已抄送 | 线上督导服务号-如有异议请联系区域经理（此账号不做回复） 已抄送 01/30 11:50;
已抄送 | 谢芳 已抄送 01/30 11:50;
已抄送 | 线上督导-鹿世鸣-督导部 已抄送 01/30 11:50;
已转审 | 贺龙娇 已转审 01/30 13:47;
已同意 | 李婕 已同意 01/30 19:13;
已同意 | 杨文慧 已同意 01/30 19:17;
已同意 | 施工监理-范钟欣-13817733545 已同意 02/04 15:56;
已同意 | 王伟清 已同意 02/04 16:12;
已同意 | 刘崇宇-18616022203-督导部 已同意 02/04 18:08;
已同意 | 蔡文佳-18916500662-线下运营部 已同意 02/04 18:43;
已同意 | 线下堂食助理-婷婷 已同意 02/04 18:58;
已同意 | 单玮-13816935059-督导部 已同意 02/04 19:25;
已抄送 | 卢家豪 已抄送 02/04 19:25;
已抄送 | 抖音&amp;快手-周幂-17521714387 已抄送 02/04 19:25;
已同意 | 苏磊 已同意 02/04 19:47;
已抄送 | 翁嘉隆-线上运营总监-13611699917 已抄送 02/04 19:47</v>
          </cell>
        </row>
        <row r="104">
          <cell r="A104">
            <v>2615</v>
          </cell>
          <cell r="B104" t="str">
            <v>审批中</v>
          </cell>
          <cell r="C104">
            <v>2615</v>
          </cell>
          <cell r="D104" t="str">
            <v>丹尼斯百货店</v>
          </cell>
          <cell r="E104" t="str">
            <v>已抄送 | 线上督导服务号-如有异议请联系区域经理（此账号不做回复） 已抄送 01/30 14:51;
已抄送 | 谢芳 已抄送 01/30 14:51;
已抄送 | 线上督导-鹿世鸣-督导部 已抄送 01/30 14:51;
已同意 | 贺龙娇 已同意 01/30 15:27;
已同意 | 杨文慧 已同意 01/30 15:39</v>
          </cell>
        </row>
        <row r="105">
          <cell r="A105">
            <v>2307</v>
          </cell>
          <cell r="B105" t="str">
            <v>审批中</v>
          </cell>
          <cell r="C105">
            <v>2307</v>
          </cell>
          <cell r="D105" t="str">
            <v>前通路新街店</v>
          </cell>
          <cell r="E105" t="str">
            <v>已抄送 | 线上督导服务号-如有异议请联系区域经理（此账号不做回复） 已抄送 01/30 14:45;
已抄送 | 谢芳 已抄送 01/30 14:45;
已抄送 | 线上督导-鹿世鸣-督导部 已抄送 01/30 14:45;
已同意 | 贺龙娇 已同意 01/30 14:55;
已同意 | 杨文慧 已同意 01/30 15:12;
已同意 | 施工监理-范钟欣-13817733545 已同意 01/30 15:14;
已同意 | 王伟清 已同意 01/30 15:16;
已同意 | 刘崇宇-18616022203-督导部 已同意 02/02 12:38;
已同意 | 蔡文佳-18916500662-线下运营部 已同意 02/02 15:45;
已同意 | 线下堂食助理-婷婷 已同意 02/02 15:58;
已同意 | 单玮-13816935059-督导部 已同意 02/02 18:31;
已抄送 | 卢家豪 已抄送 02/02 18:31;
已抄送 | 抖音&amp;快手-周幂-17521714387 已抄送 02/02 18:31;
已同意 | 苏磊 已同意 02/02 18:32;
已抄送 | 翁嘉隆-线上运营总监-13611699917 已抄送 02/02 18:32</v>
          </cell>
        </row>
        <row r="106">
          <cell r="A106">
            <v>1263</v>
          </cell>
          <cell r="B106" t="str">
            <v>已通过</v>
          </cell>
          <cell r="C106">
            <v>1263</v>
          </cell>
          <cell r="D106" t="str">
            <v>黄埭店</v>
          </cell>
          <cell r="E106" t="str">
            <v>已抄送 | 线上督导服务号-如有异议请联系区域经理（此账号不做回复） 已抄送 01/30 15:00;
已抄送 | 谢芳 已抄送 01/30 15:00;
已抄送 | 线上督导-鹿世鸣-督导部 已抄送 01/30 15:00;
已转审 | 贺龙娇 已转审 01/30 15:26;
已同意 | 李婕 已同意 02/04 17:02;
已同意 | 杨文慧 已同意 02/04 17:22;
已同意 | 施工监理-范钟欣-13817733545 已同意 02/04 17:28;
已同意 | 刘崇宇-18616022203-督导部 已同意 02/04 18:05;
已同意 | 蔡文佳-18916500662-线下运营部 已同意 02/04 18:47;
已同意 | 线下堂食助理-婷婷 已同意 02/04 18:57;
已同意 | 单玮-13816935059-督导部 已同意 02/05 09:35;
已抄送 | 卢家豪 已抄送 02/05 09:35;
已抄送 | 抖音&amp;快手-周幂-17521714387 已抄送 02/05 09:35;
已同意 | 苏磊 已同意 02/05 09:35;
已抄送 | 翁嘉隆-线上运营总监-13611699917 已抄送 02/05 09:35;
已同意 | 陈宇航-线上助理-18350349892 不用建店，单纯换证 已同意 02/05 11:21;
已抄送 | 谢芳 已抄送 02/05 11:21;
已抄送 | 黄琪艳 已抄送 02/05 11:21;
已抄送 | 王京海 已抄送 02/05 11:21</v>
          </cell>
        </row>
        <row r="107">
          <cell r="A107">
            <v>1483</v>
          </cell>
          <cell r="B107" t="str">
            <v>审批中</v>
          </cell>
          <cell r="C107">
            <v>1483</v>
          </cell>
          <cell r="D107" t="str">
            <v>许村店</v>
          </cell>
          <cell r="E107" t="str">
            <v>已抄送 | 线上督导服务号-如有异议请联系区域经理（此账号不做回复） 已抄送 01/30 17:25;
已抄送 | 谢芳 已抄送 01/30 17:25;
已抄送 | 线上督导-鹿世鸣-督导部 已抄送 01/30 17:25;
已同意 | 贺龙娇 已同意 02/02 18:38;
已同意 | 杨文慧 已同意 02/02 18:39;
已同意 | 施工监理-范钟欣-13817733545 已同意 02/03 16:12;
已同意 | 刘崇宇-18616022203-督导部 已同意 02/04 18:12;
已同意 | 蔡文佳-18916500662-线下运营部 已同意 02/04 18:38;
已同意 | 线下堂食助理-婷婷 已同意 02/04 18:56;
已同意 | 单玮-13816935059-督导部 已同意 02/04 19:58;
已抄送 | 卢家豪 已抄送 02/04 19:58;
已抄送 | 抖音&amp;快手-周幂-17521714387 已抄送 02/04 19:58;
已同意 | 苏磊 已同意 02/05 09:35;
已抄送 | 翁嘉隆-线上运营总监-13611699917 已抄送 02/05 09:35</v>
          </cell>
        </row>
        <row r="108">
          <cell r="A108">
            <v>2394</v>
          </cell>
          <cell r="B108" t="str">
            <v>审批中</v>
          </cell>
          <cell r="C108">
            <v>2394</v>
          </cell>
          <cell r="D108" t="str">
            <v>西太湖店</v>
          </cell>
          <cell r="E108" t="str">
            <v>已抄送 | 线上督导服务号-如有异议请联系区域经理（此账号不做回复） 已抄送 01/31 17:31;
已抄送 | 谢芳 已抄送 01/31 17:31;
已抄送 | 线上督导-鹿世鸣-督导部 已抄送 01/31 17:31;
已转审 | 贺龙娇 已转审 02/02 15:01;
已同意 | 李婕 已同意 02/02 19:52;
已同意 | 杨文慧 已同意 02/02 19:57;
已同意 | 施工监理-范钟欣-13817733545 已同意 02/03 09:24;
已同意 | 王伟清 已同意 02/03 09:25;
已同意 | 刘崇宇-18616022203-督导部 已同意 02/03 15:24</v>
          </cell>
        </row>
        <row r="109">
          <cell r="A109">
            <v>2345</v>
          </cell>
          <cell r="B109" t="str">
            <v>审批中</v>
          </cell>
          <cell r="C109">
            <v>2345</v>
          </cell>
          <cell r="D109" t="str">
            <v>滁州学院店</v>
          </cell>
          <cell r="E109" t="str">
            <v>已抄送 | 线上督导服务号-如有异议请联系区域经理（此账号不做回复） 已抄送 01/31 17:33;
已抄送 | 谢芳 已抄送 01/31 17:33;
已抄送 | 线上督导-鹿世鸣-督导部 已抄送 01/31 17:33;
已同意 | 贺龙娇 已同意 02/02 15:00;
已同意 | 杨文慧 已同意 02/02 15:02;
已同意 | 施工监理-范钟欣-13817733545 已同意 02/02 15:07;
已同意 | 王伟清 已同意 02/02 16:56;
已同意 | 刘崇宇-18616022203-督导部 已同意 02/02 17:57;
已同意 | 蔡文佳-18916500662-线下运营部 已同意 02/03 18:58;
已同意 | 线下堂食助理-婷婷 已同意 02/03 19:01;
已同意 | 单玮-13816935059-督导部 已同意 02/03 19:16;
已抄送 | 卢家豪 已抄送 02/03 19:16;
已抄送 | 抖音&amp;快手-周幂-17521714387 已抄送 02/03 19:16;
已同意 | 苏磊 已同意 02/03 21:14;
已抄送 | 翁嘉隆-线上运营总监-13611699917 已抄送 02/03 21:14</v>
          </cell>
        </row>
        <row r="110">
          <cell r="A110">
            <v>460</v>
          </cell>
          <cell r="B110" t="str">
            <v>已通过</v>
          </cell>
          <cell r="C110">
            <v>460</v>
          </cell>
          <cell r="D110" t="str">
            <v>南大街店</v>
          </cell>
          <cell r="E110" t="str">
            <v>已抄送 | 线上督导服务号-如有异议请联系区域经理（此账号不做回复） 已抄送 01/31 17:34;
已抄送 | 谢芳 已抄送 01/31 17:34;
已抄送 | 线上督导-鹿世鸣-督导部 已抄送 01/31 17:34;
已同意 | 李婕 已同意 02/02 16:31;
已同意 | 杨文慧 已同意 02/02 16:47;
已同意 | 施工监理-范钟欣-13817733545 已同意 02/02 16:55;
已同意 | 刘崇宇-18616022203-督导部 已同意 02/02 17:57;
已同意 | 蔡文佳-18916500662-线下运营部 已同意 02/03 18:59;
已同意 | 线下堂食助理-婷婷 已同意 02/03 19:00;
已同意 | 单玮-13816935059-督导部 已同意 02/03 19:40;
已抄送 | 卢家豪 已抄送 02/03 19:40;
已抄送 | 抖音&amp;快手-周幂-17521714387 已抄送 02/03 19:40;
已同意 | 苏磊 已同意 02/03 21:14;
已抄送 | 翁嘉隆-线上运营总监-13611699917 已抄送 02/03 21:14;
已同意 | 陈宇航-线上助理-18350349892 门店换证，不需要重新建店 已同意 02/04 10:37;
已抄送 | 谢芳 已抄送 02/04 10:37;
已抄送 | 黄琪艳 已抄送 02/04 10:37;
已抄送 | 王京海 已抄送 02/04 10:37</v>
          </cell>
        </row>
        <row r="111">
          <cell r="A111">
            <v>249</v>
          </cell>
          <cell r="B111" t="str">
            <v>已通过</v>
          </cell>
          <cell r="C111">
            <v>249</v>
          </cell>
          <cell r="D111" t="str">
            <v>文鼎店</v>
          </cell>
          <cell r="E111" t="str">
            <v>已抄送 | 线上督导服务号-如有异议请联系区域经理（此账号不做回复） 已抄送 01/31 17:35;
已抄送 | 谢芳 已抄送 01/31 17:35;
已抄送 | 线上督导-鹿世鸣-督导部 已抄送 01/31 17:35;
已同意 | 贺龙娇 已同意 02/04 15:46;
已同意 | 杨文慧 已同意 02/04 15:50;
已同意 | 施工监理-范钟欣-13817733545 已同意 02/04 15:52;
已同意 | 刘崇宇-18616022203-督导部 已同意 02/04 18:09;
已同意 | 蔡文佳-18916500662-线下运营部 已同意 02/04 18:42;
已同意 | 线下堂食助理-婷婷 已同意 02/04 18:58;
已同意 | 单玮-13816935059-督导部 已同意 02/04 18:59;
已抄送 | 卢家豪 已抄送 02/04 18:59;
已抄送 | 抖音&amp;快手-周幂-17521714387 已抄送 02/04 18:59;
已同意 | 苏磊 已同意 02/04 19:07;
已抄送 | 翁嘉隆-线上运营总监-13611699917 已抄送 02/04 19:07;
已同意 | 陈宇航-线上助理-18350349892 不用建店，单纯换证 已同意 02/05 11:21;
已抄送 | 谢芳 已抄送 02/05 11:21;
已抄送 | 黄琪艳 已抄送 02/05 11:21;
已抄送 | 王京海 已抄送 02/05 11:21</v>
          </cell>
        </row>
        <row r="112">
          <cell r="A112">
            <v>2554</v>
          </cell>
          <cell r="B112" t="str">
            <v>审批中</v>
          </cell>
          <cell r="C112">
            <v>2554</v>
          </cell>
          <cell r="D112" t="str">
            <v>太和店</v>
          </cell>
          <cell r="E112" t="str">
            <v>已抄送 | 线上督导服务号-如有异议请联系区域经理（此账号不做回复） 已抄送 02/01 11:24;
已抄送 | 谢芳 已抄送 02/01 11:24;
已抄送 | 线上督导-鹿世鸣-督导部 已抄送 02/01 11:24;
已转审 | 贺龙娇 已转审 02/02 14:57;
已同意 | 李婕 已同意 02/02 19:53;
已同意 | 杨文慧 已同意 02/02 19:57;
已同意 | 施工监理-范钟欣-13817733545 已同意 02/03 09:21;
已同意 | 王伟清 已同意 02/03 09:21;
已同意 | 刘崇宇-18616022203-督导部 已同意 02/03 15:25;
已同意 | 蔡文佳-18916500662-线下运营部 已同意 02/04 18:53;
已同意 | 线下堂食助理-婷婷 已同意 02/04 18:56;
已同意 | 单玮-13816935059-督导部 已同意 02/04 19:52;
已抄送 | 卢家豪 已抄送 02/04 19:52;
已抄送 | 抖音&amp;快手-周幂-17521714387 已抄送 02/04 19:52;
已同意 | 苏磊 已同意 02/05 09:35;
已抄送 | 翁嘉隆-线上运营总监-13611699917 已抄送 02/05 09:35</v>
          </cell>
        </row>
        <row r="113">
          <cell r="A113">
            <v>2538</v>
          </cell>
          <cell r="B113" t="str">
            <v>审批中</v>
          </cell>
          <cell r="C113">
            <v>2538</v>
          </cell>
          <cell r="D113" t="str">
            <v>鱼化寨店</v>
          </cell>
          <cell r="E113" t="str">
            <v>已抄送 | 线上督导服务号-如有异议请联系区域经理（此账号不做回复） 已抄送 02/01 16:44;
已抄送 | 谢芳 已抄送 02/01 16:44;
已抄送 | 线上督导-鹿世鸣-督导部 已抄送 02/01 16:44;
已同意 | 贺龙娇 已同意 02/02 14:55;
已同意 | 杨文慧 已同意 02/02 15:00;
已同意 | 施工监理-范钟欣-13817733545 已同意 02/03 15:01;
已同意 | 王伟清 已同意 02/03 15:02;
已同意 | 刘崇宇-18616022203-督导部 已同意 02/03 15:21;
已同意 | 蔡文佳-18916500662-线下运营部 已同意 02/03 18:56;
已同意 | 线下堂食助理-婷婷 已同意 02/03 19:01;
已同意 | 单玮-13816935059-督导部 已同意 02/03 19:13;
已抄送 | 卢家豪 已抄送 02/03 19:13;
已抄送 | 抖音&amp;快手-周幂-17521714387 已抄送 02/03 19:13;
已同意 | 苏磊 已同意 02/03 21:14;
已抄送 | 翁嘉隆-线上运营总监-13611699917 已抄送 02/03 21:14</v>
          </cell>
        </row>
        <row r="114">
          <cell r="A114">
            <v>2541</v>
          </cell>
          <cell r="B114" t="str">
            <v>审批中</v>
          </cell>
          <cell r="C114">
            <v>2541</v>
          </cell>
          <cell r="D114" t="str">
            <v>华阳湖创客坊店</v>
          </cell>
          <cell r="E114" t="str">
            <v>已抄送 | 线上督导服务号-如有异议请联系区域经理（此账号不做回复） 已抄送 02/01 16:45;
已抄送 | 谢芳 已抄送 02/01 16:45;
已抄送 | 线上督导-鹿世鸣-督导部 已抄送 02/01 16:45;
已同意 | 贺龙娇 已同意 02/02 14:54;
已同意 | 杨文慧 已同意 02/02 15:01;
已同意 | 施工监理-范钟欣-13817733545 已同意 02/04 17:17;
已同意 | 王伟清 已同意 02/04 17:20;
已同意 | 刘崇宇-18616022203-督导部 已同意 02/04 17:40;
已同意 | 蔡文佳-18916500662-线下运营部 已同意 02/04 18:50;
已同意 | 线下堂食助理-婷婷 已同意 02/04 18:56;
已同意 | 单玮-13816935059-督导部 已同意 02/04 19:48;
已抄送 | 卢家豪 已抄送 02/04 19:48;
已抄送 | 抖音&amp;快手-周幂-17521714387 已抄送 02/04 19:48;
已同意 | 苏磊 已同意 02/05 09:35;
已抄送 | 翁嘉隆-线上运营总监-13611699917 已抄送 02/05 09:35</v>
          </cell>
        </row>
        <row r="115">
          <cell r="A115">
            <v>2250</v>
          </cell>
          <cell r="B115" t="str">
            <v>审批中</v>
          </cell>
          <cell r="C115">
            <v>2250</v>
          </cell>
          <cell r="D115" t="str">
            <v>蒙城方圆荟店</v>
          </cell>
          <cell r="E115" t="str">
            <v>已抄送 | 线上督导服务号-如有异议请联系区域经理（此账号不做回复） 已抄送 02/01 16:46;
已抄送 | 谢芳 已抄送 02/01 16:46;
已抄送 | 线上督导-鹿世鸣-督导部 已抄送 02/01 16:46;
已同意 | 贺龙娇 已同意 02/02 14:53;
已同意 | 杨文慧 已同意 02/02 15:01;
已同意 | 施工监理-范钟欣-13817733545 已同意 02/04 15:01;
已同意 | 王伟清 已同意 02/04 15:01;
已同意 | 刘崇宇-18616022203-督导部 已同意 02/04 18:10</v>
          </cell>
        </row>
        <row r="116">
          <cell r="A116">
            <v>2518</v>
          </cell>
          <cell r="B116" t="str">
            <v>审批中</v>
          </cell>
          <cell r="C116">
            <v>2518</v>
          </cell>
          <cell r="D116" t="str">
            <v>团城山店</v>
          </cell>
          <cell r="E116" t="str">
            <v>已抄送 | 线上督导服务号-如有异议请联系区域经理（此账号不做回复） 已抄送 02/01 16:49;
已抄送 | 谢芳 已抄送 02/01 16:49;
已抄送 | 线上督导-鹿世鸣-督导部 已抄送 02/01 16:49;
已同意 | 贺龙娇 已同意 02/02 14:52;
已同意 | 杨文慧 已同意 02/02 15:01;
已同意 | 施工监理-范钟欣-13817733545 已同意 02/05 14:22;
已同意 | 王伟清 已同意 02/05 14:34;
已同意 | 刘崇宇-18616022203-督导部 已同意 02/05 14:54</v>
          </cell>
        </row>
        <row r="117">
          <cell r="A117">
            <v>2444</v>
          </cell>
          <cell r="B117" t="str">
            <v>审批中</v>
          </cell>
          <cell r="C117">
            <v>2444</v>
          </cell>
          <cell r="D117" t="str">
            <v>海城店</v>
          </cell>
          <cell r="E117" t="str">
            <v>已抄送 | 线上督导服务号-如有异议请联系区域经理（此账号不做回复） 已抄送 02/01 17:50;
已抄送 | 谢芳 已抄送 02/01 17:50;
已抄送 | 线上督导-鹿世鸣-督导部 已抄送 02/01 17:50;
已同意 | 贺龙娇 已同意 02/02 14:51;
已同意 | 杨文慧 已同意 02/02 15:01</v>
          </cell>
        </row>
        <row r="118">
          <cell r="A118">
            <v>2509</v>
          </cell>
          <cell r="B118" t="str">
            <v>审批中</v>
          </cell>
          <cell r="C118">
            <v>2509</v>
          </cell>
          <cell r="D118" t="str">
            <v>会盟南店</v>
          </cell>
          <cell r="E118" t="str">
            <v>已抄送 | 线上督导服务号-如有异议请联系区域经理（此账号不做回复） 已抄送 02/02 13:50;
已抄送 | 谢芳 已抄送 02/02 13:50;
已抄送 | 线上督导-鹿世鸣-督导部 已抄送 02/02 13:50;
已同意 | 贺龙娇 已同意 02/02 14:47;
已同意 | 杨文慧 已同意 02/02 15:02</v>
          </cell>
        </row>
        <row r="119">
          <cell r="A119">
            <v>1154</v>
          </cell>
          <cell r="B119" t="str">
            <v>审批中</v>
          </cell>
          <cell r="C119">
            <v>1154</v>
          </cell>
          <cell r="D119" t="str">
            <v>佳园路店</v>
          </cell>
          <cell r="E119" t="str">
            <v>已抄送 | 线上督导服务号-如有异议请联系区域经理（此账号不做回复） 已抄送 02/02 17:55;
已抄送 | 谢芳 已抄送 02/02 17:55;
已抄送 | 线上督导-鹿世鸣-督导部 已抄送 02/02 17:55;
已同意 | 贺龙娇 已同意 02/04 15:45;
已同意 | 杨文慧 已同意 02/04 15:49;
已同意 | 施工监理-范钟欣-13817733545 已同意 02/05 14:29;
已同意 | 刘崇宇-18616022203-督导部 已同意 02/05 14:54;
已同意 | 蔡文佳-18916500662-线下运营部 已同意 02/05 15:19;
已同意 | 线下堂食助理-婷婷 已同意 02/05 15:20;
已同意 | 单玮-13816935059-督导部 已同意 02/05 16:56;
已抄送 | 卢家豪 已抄送 02/05 16:56;
已抄送 | 抖音&amp;快手-周幂-17521714387 已抄送 02/05 16:56;
已同意 | 苏磊 已同意 02/05 17:02;
已抄送 | 翁嘉隆-线上运营总监-13611699917 已抄送 02/05 17:02</v>
          </cell>
        </row>
        <row r="120">
          <cell r="A120">
            <v>2558</v>
          </cell>
          <cell r="B120" t="str">
            <v>审批中</v>
          </cell>
          <cell r="C120">
            <v>2558</v>
          </cell>
          <cell r="D120" t="str">
            <v>惠安高级中学店</v>
          </cell>
          <cell r="E120" t="str">
            <v>已抄送 | 线上督导服务号-如有异议请联系区域经理（此账号不做回复） 已抄送 02/02 17:57;
已抄送 | 谢芳 已抄送 02/02 17:57;
已抄送 | 线上督导-鹿世鸣-督导部 已抄送 02/02 17:57;
已同意 | 贺龙娇 已同意 02/02 18:21;
已同意 | 杨文慧 已同意 02/02 18:25;
已同意 | 施工监理-范钟欣-13817733545 已同意 02/04 10:02;
已同意 | 王伟清 已同意 02/04 10:03;
已同意 | 刘崇宇-18616022203-督导部 已同意 02/04 18:11</v>
          </cell>
        </row>
        <row r="121">
          <cell r="A121">
            <v>2522</v>
          </cell>
          <cell r="B121" t="str">
            <v>审批中</v>
          </cell>
          <cell r="C121">
            <v>2522</v>
          </cell>
          <cell r="D121" t="str">
            <v>东方名筑店</v>
          </cell>
          <cell r="E121" t="str">
            <v>已抄送 | 线上督导服务号-如有异议请联系区域经理（此账号不做回复） 已抄送 02/02 17:58;
已抄送 | 谢芳 已抄送 02/02 17:58;
已抄送 | 线上督导-鹿世鸣-督导部 已抄送 02/02 17:58;
已同意 | 贺龙娇 已同意 02/02 18:21;
已同意 | 杨文慧 已同意 02/02 18:25</v>
          </cell>
        </row>
        <row r="122">
          <cell r="A122">
            <v>1110</v>
          </cell>
          <cell r="B122" t="str">
            <v>已通过</v>
          </cell>
          <cell r="C122">
            <v>1110</v>
          </cell>
          <cell r="D122" t="str">
            <v>鳌江银泰城店</v>
          </cell>
          <cell r="E122" t="str">
            <v>已抄送 | 线上督导服务号-如有异议请联系区域经理（此账号不做回复） 已抄送 02/03 11:50;
已抄送 | 谢芳 已抄送 02/03 11:50;
已抄送 | 线上督导-鹿世鸣-督导部 已抄送 02/03 11:50;
已转审 | 贺龙娇 已转审 02/03 14:12;
已同意 | 李婕 已同意 02/04 17:01;
已同意 | 杨文慧 已同意 02/04 17:21;
已同意 | 施工监理-范钟欣-13817733545 已同意 02/04 17:23;
已同意 | 王伟清 已同意 02/04 17:31;
已同意 | 刘崇宇-18616022203-督导部 已同意 02/05 14:52;
已同意 | 蔡文佳-18916500662-线下运营部 已同意 02/05 18:24;
已同意 | 休息中线下堂食助理-婷婷 已同意 02/05 18:44;
已同意 | 单玮-13816935059-督导部 已同意 02/05 20:27;
已抄送 | 卢家豪 已抄送 02/05 20:27;
已抄送 | 抖音&amp;快手-周幂-17521714387 已抄送 02/05 20:27;
已同意 | 苏磊 已同意 02/05 20:32;
已抄送 | 翁嘉隆-线上运营总监-13611699917 已抄送 02/05 20:32;
已同意 | 陈宇航-线上助理-18350349892 门店换证 已同意 02/06 10:32;
已抄送 | 谢芳 已抄送 02/06 10:32;
已抄送 | 黄琪艳 已抄送 02/06 10:32;
已抄送 | 王京海 已抄送 02/06 10:32</v>
          </cell>
        </row>
        <row r="123">
          <cell r="A123">
            <v>1772</v>
          </cell>
          <cell r="B123" t="str">
            <v>已通过</v>
          </cell>
          <cell r="C123">
            <v>1772</v>
          </cell>
          <cell r="D123" t="str">
            <v>交大创新港</v>
          </cell>
          <cell r="E123" t="str">
            <v>已抄送 | 线上督导服务号-如有异议请联系区域经理（此账号不做回复） 已抄送 02/03 14:06;
已抄送 | 谢芳 已抄送 02/03 14:06;
已抄送 | 线上督导-鹿世鸣-督导部 已抄送 02/03 14:06;
已转审 | 贺龙娇 已转审 02/03 14:13;
已同意 | 李婕 已同意 02/04 17:00;
已同意 | 杨文慧 已同意 02/04 17:22;
已同意 | 施工监理-范钟欣-13817733545 已同意 02/04 17:24;
已同意 | 刘崇宇-18616022203-督导部 已同意 02/04 18:08;
已同意 | 蔡文佳-18916500662-线下运营部 已同意 02/05 12:21;
已同意 | 线下堂食助理-婷婷 已同意 02/05 12:28;
已同意 | 单玮-13816935059-督导部 已同意 02/05 13:48;
已抄送 | 卢家豪 已抄送 02/05 13:48;
已抄送 | 抖音&amp;快手-周幂-17521714387 已抄送 02/05 13:48;
已同意 | 苏磊 已同意 02/05 13:49;
已抄送 | 翁嘉隆-线上运营总监-13611699917 已抄送 02/05 13:49;
已同意 | 陈宇航-线上助理-18350349892 门店换证不重新建店 已同意 02/05 17:19;
已抄送 | 谢芳 已抄送 02/05 17:19;
已抄送 | 黄琪艳 已抄送 02/05 17:19;
已抄送 | 王京海 已抄送 02/05 17:19</v>
          </cell>
        </row>
        <row r="124">
          <cell r="A124">
            <v>2418</v>
          </cell>
          <cell r="B124" t="str">
            <v>审批中</v>
          </cell>
          <cell r="C124">
            <v>2418</v>
          </cell>
          <cell r="D124" t="str">
            <v>建安街店</v>
          </cell>
          <cell r="E124" t="str">
            <v>已抄送 | 线上督导服务号-如有异议请联系区域经理（此账号不做回复） 已抄送 02/03 16:14;
已抄送 | 谢芳 已抄送 02/03 16:14;
已抄送 | 线上督导-鹿世鸣-督导部 已抄送 02/03 16:14;
已转审 | 贺龙娇 已转审 02/03 18:09;
已同意 | 李婕 已同意 02/03 18:57;
已同意 | 杨文慧 已同意 02/03 18:59;
已同意 | 施工监理-范钟欣-13817733545 已同意 02/06 09:34;
已同意 | 王伟清 已同意 02/06 09:39;
已同意 | 刘崇宇-18616022203-督导部 已同意 02/06 13:39</v>
          </cell>
        </row>
        <row r="125">
          <cell r="A125">
            <v>1891</v>
          </cell>
          <cell r="B125" t="str">
            <v>审批中</v>
          </cell>
          <cell r="C125">
            <v>1891</v>
          </cell>
          <cell r="D125" t="str">
            <v>古城店</v>
          </cell>
          <cell r="E125" t="str">
            <v>已抄送 | 线上督导服务号-如有异议请联系区域经理（此账号不做回复） 已抄送 02/03 16:18;
已抄送 | 谢芳 已抄送 02/03 16:18;
已抄送 | 线上督导-鹿世鸣-督导部 已抄送 02/03 16:18;
已同意 | 贺龙娇 收到电子签门店信息确认涵 已同意 02/04 15:44;
已同意 | 杨文慧 已同意 02/04 15:49;
已同意 | 施工监理-范钟欣-13817733545 已同意 02/04 15:50;
已同意 | 王伟清 已同意 02/04 16:12;
已同意 | 刘崇宇-18616022203-督导部 已同意 02/05 14:57;
已同意 | 蔡文佳-18916500662-线下运营部 已同意 02/05 15:10;
已同意 | 线下堂食助理-婷婷 已同意 02/05 15:20;
已同意 | 单玮-13816935059-督导部 已同意 02/05 17:00;
已抄送 | 卢家豪 已抄送 02/05 17:00;
已抄送 | 抖音&amp;快手-周幂-17521714387 已抄送 02/05 17:00;
已同意 | 苏磊 已同意 02/05 17:02;
已抄送 | 翁嘉隆-线上运营总监-13611699917 已抄送 02/05 17:02</v>
          </cell>
        </row>
        <row r="126">
          <cell r="A126">
            <v>1215</v>
          </cell>
          <cell r="B126" t="str">
            <v>审批中</v>
          </cell>
          <cell r="C126">
            <v>1215</v>
          </cell>
          <cell r="D126" t="str">
            <v>武进大学</v>
          </cell>
          <cell r="E126" t="str">
            <v>已抄送 | 线上督导服务号-如有异议请联系区域经理（此账号不做回复） 已抄送 02/03 16:23;
已抄送 | 谢芳 已抄送 02/03 16:23;
已抄送 | 线上督导-鹿世鸣-督导部 已抄送 02/03 16:23;
已同意 | 贺龙娇 已同意 02/04 16:53;
已同意 | 杨文慧 已同意 02/04 17:23</v>
          </cell>
        </row>
        <row r="127">
          <cell r="A127">
            <v>1272</v>
          </cell>
          <cell r="B127" t="str">
            <v>审批中</v>
          </cell>
          <cell r="C127">
            <v>1272</v>
          </cell>
          <cell r="D127" t="str">
            <v>石码店</v>
          </cell>
          <cell r="E127" t="str">
            <v>已抄送 | 线上督导服务号-如有异议请联系区域经理（此账号不做回复） 已抄送 02/04 10:02;
已抄送 | 谢芳 已抄送 02/04 10:02;
已抄送 | 线上督导-鹿世鸣-督导部 已抄送 02/04 10:02;
已转审 | 贺龙娇 已转审 02/04 14:57;
已同意 | 李婕 已同意 02/04 16:59;
已同意 | 杨文慧 已同意 02/04 17:23;
已同意 | 施工监理-范钟欣-13817733545 已同意 02/05 09:50;
已同意 | 刘崇宇-18616022203-督导部 已同意 02/05 12:10;
已同意 | 蔡文佳-18916500662-线下运营部 已同意 02/05 12:18;
已同意 | 线下堂食助理-婷婷 已同意 02/05 12:27;
已同意 | 单玮-13816935059-督导部 已同意 02/05 13:53;
已抄送 | 卢家豪 已抄送 02/05 13:53;
已抄送 | 抖音&amp;快手-周幂-17521714387 已抄送 02/05 13:53;
已同意 | 苏磊 已同意 02/05 13:53;
已抄送 | 翁嘉隆-线上运营总监-13611699917 已抄送 02/05 13:53</v>
          </cell>
        </row>
        <row r="128">
          <cell r="A128">
            <v>727</v>
          </cell>
          <cell r="B128" t="str">
            <v>审批中</v>
          </cell>
          <cell r="C128">
            <v>727</v>
          </cell>
          <cell r="D128" t="str">
            <v>杭州城站店</v>
          </cell>
          <cell r="E128" t="str">
            <v>已抄送 | 线上督导服务号-如有异议请联系区域经理（此账号不做回复） 已抄送 02/04 11:04;
已抄送 | 谢芳 已抄送 02/04 11:04;
已抄送 | 线上督导-鹿世鸣-督导部 已抄送 02/04 11:04;
已同意 | 李婕 已同意 02/05 15:55;
已同意 | 杨文慧 已同意 02/05 18:18</v>
          </cell>
        </row>
        <row r="129">
          <cell r="A129">
            <v>2572</v>
          </cell>
          <cell r="B129" t="str">
            <v>审批中</v>
          </cell>
          <cell r="C129">
            <v>2572</v>
          </cell>
          <cell r="D129" t="str">
            <v>开州店</v>
          </cell>
          <cell r="E129" t="str">
            <v>已抄送 | 线上督导服务号-如有异议请联系区域经理（此账号不做回复） 已抄送 02/04 12:14;
已抄送 | 谢芳 已抄送 02/04 12:14;
已抄送 | 线上督导-鹿世鸣-督导部 已抄送 02/04 12:14;
已同意 | 李婕 已同意 02/04 12:18;
已同意 | 杨文慧 已同意 02/04 12:22;
已同意 | 施工监理-范钟欣-13817733545 已同意 02/05 09:44;
已同意 | 王伟清 已同意 02/05 10:06;
已同意 | 刘崇宇-18616022203-督导部 已同意 02/05 14:55;
已同意 | 蔡文佳-18916500662-线下运营部 已同意 02/05 15:17;
已同意 | 线下堂食助理-婷婷 已同意 02/05 15:21;
已同意 | 单玮-13816935059-督导部 已同意 02/05 16:53;
已抄送 | 卢家豪 已抄送 02/05 16:53;
已抄送 | 抖音&amp;快手-周幂-17521714387 已抄送 02/05 16:53;
已同意 | 苏磊 已同意 02/05 16:53;
已抄送 | 翁嘉隆-线上运营总监-13611699917 已抄送 02/05 16:53</v>
          </cell>
        </row>
        <row r="130">
          <cell r="A130">
            <v>930</v>
          </cell>
          <cell r="B130" t="str">
            <v>已通过</v>
          </cell>
          <cell r="C130">
            <v>930</v>
          </cell>
          <cell r="D130" t="str">
            <v>麦德龙（光华）店</v>
          </cell>
          <cell r="E130" t="str">
            <v>已抄送 | 线上督导服务号-如有异议请联系区域经理（此账号不做回复） 已抄送 02/05 09:36;
已抄送 | 谢芳 已抄送 02/05 09:36;
已抄送 | 线上督导-鹿世鸣-督导部 已抄送 02/05 09:36;
已同意 | 李婕 已同意 02/05 09:52;
已同意 | 杨文慧 已同意 02/05 10:00;
已同意 | 施工监理-范钟欣-13817733545 已同意 02/05 10:06;
已同意 | 刘崇宇-18616022203-督导部 已同意 02/05 14:55;
已同意 | 蔡文佳-18916500662-线下运营部 已同意 02/05 15:16;
已同意 | 线下堂食助理-婷婷 已同意 02/05 15:21;
已同意 | 单玮-13816935059-督导部 已同意 02/05 16:51;
已抄送 | 卢家豪 已抄送 02/05 16:51;
已抄送 | 抖音&amp;快手-周幂-17521714387 已抄送 02/05 16:51;
已同意 | 苏磊 已同意 02/05 16:52;
已抄送 | 翁嘉隆-线上运营总监-13611699917 已抄送 02/05 16:52;
已同意 | 陈宇航-线上助理-18350349892 门店换证不重新建店 已同意 02/05 17:20;
已抄送 | 谢芳 已抄送 02/05 17:20;
已抄送 | 黄琪艳 已抄送 02/05 17:20;
已抄送 | 王京海 已抄送 02/05 17:20</v>
          </cell>
        </row>
        <row r="131">
          <cell r="A131">
            <v>355</v>
          </cell>
          <cell r="B131" t="str">
            <v>审批中</v>
          </cell>
          <cell r="C131">
            <v>355</v>
          </cell>
          <cell r="D131" t="str">
            <v>漕河泾店</v>
          </cell>
          <cell r="E131" t="str">
            <v>已抄送 | 线上督导服务号-如有异议请联系区域经理（此账号不做回复） 已抄送 02/05 17:03;
已抄送 | 谢芳 已抄送 02/05 17:03;
已抄送 | 线上督导-鹿世鸣-督导部 已抄送 02/05 17:03;
已同意 | 李婕 已同意 02/06 15:35;
已同意 | 杨文慧 已同意 02/06 16:47;
已同意 | 施工监理-范钟欣-13817733545 已同意 02/06 17:03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3"/>
  <sheetViews>
    <sheetView tabSelected="1" workbookViewId="0">
      <selection activeCell="J14" sqref="J14"/>
    </sheetView>
  </sheetViews>
  <sheetFormatPr defaultColWidth="9" defaultRowHeight="25" customHeight="1"/>
  <cols>
    <col min="10" max="10" width="12.625" customWidth="1"/>
    <col min="11" max="11" width="9" style="2"/>
  </cols>
  <sheetData>
    <row r="1" s="1" customFormat="1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Height="1" spans="1:11">
      <c r="A2" s="4" t="s">
        <v>11</v>
      </c>
      <c r="B2" s="5">
        <v>2327</v>
      </c>
      <c r="C2" s="5" t="s">
        <v>12</v>
      </c>
      <c r="D2" s="5" t="s">
        <v>12</v>
      </c>
      <c r="E2" s="5" t="s">
        <v>13</v>
      </c>
      <c r="F2" s="6">
        <v>46016</v>
      </c>
      <c r="G2" s="7">
        <v>46016</v>
      </c>
      <c r="H2" s="5" t="s">
        <v>14</v>
      </c>
      <c r="I2" s="5" t="s">
        <v>15</v>
      </c>
    </row>
    <row r="3" customHeight="1" spans="1:11">
      <c r="A3" s="8" t="s">
        <v>16</v>
      </c>
      <c r="B3" s="5">
        <v>2401</v>
      </c>
      <c r="C3" s="5" t="s">
        <v>17</v>
      </c>
      <c r="D3" s="5" t="s">
        <v>18</v>
      </c>
      <c r="E3" s="5" t="s">
        <v>19</v>
      </c>
      <c r="F3" s="6">
        <v>46016</v>
      </c>
      <c r="G3" s="7">
        <v>46016</v>
      </c>
      <c r="H3" s="5" t="s">
        <v>14</v>
      </c>
      <c r="I3" s="5" t="s">
        <v>15</v>
      </c>
    </row>
    <row r="4" customHeight="1" spans="1:11">
      <c r="A4" s="9" t="s">
        <v>20</v>
      </c>
      <c r="B4" s="5">
        <v>2346</v>
      </c>
      <c r="C4" s="5" t="s">
        <v>21</v>
      </c>
      <c r="D4" s="5" t="s">
        <v>22</v>
      </c>
      <c r="E4" s="5" t="s">
        <v>23</v>
      </c>
      <c r="F4" s="6">
        <v>46016</v>
      </c>
      <c r="G4" s="7">
        <v>46016</v>
      </c>
      <c r="H4" s="5" t="s">
        <v>14</v>
      </c>
      <c r="I4" s="5" t="s">
        <v>15</v>
      </c>
    </row>
    <row r="5" customHeight="1" spans="1:11">
      <c r="A5" s="9" t="s">
        <v>20</v>
      </c>
      <c r="B5" s="5">
        <v>2334</v>
      </c>
      <c r="C5" s="5" t="s">
        <v>21</v>
      </c>
      <c r="D5" s="5" t="s">
        <v>22</v>
      </c>
      <c r="E5" s="5" t="s">
        <v>24</v>
      </c>
      <c r="F5" s="6">
        <v>46016</v>
      </c>
      <c r="G5" s="7">
        <v>46016</v>
      </c>
      <c r="H5" s="5" t="s">
        <v>14</v>
      </c>
      <c r="I5" s="5" t="s">
        <v>15</v>
      </c>
    </row>
    <row r="6" customHeight="1" spans="1:11">
      <c r="A6" s="10" t="s">
        <v>25</v>
      </c>
      <c r="B6" s="5">
        <v>2365</v>
      </c>
      <c r="C6" s="5" t="s">
        <v>26</v>
      </c>
      <c r="D6" s="5" t="s">
        <v>27</v>
      </c>
      <c r="E6" s="5" t="s">
        <v>28</v>
      </c>
      <c r="F6" s="6">
        <v>46016</v>
      </c>
      <c r="G6" s="7">
        <v>46016</v>
      </c>
      <c r="H6" s="5" t="s">
        <v>14</v>
      </c>
      <c r="I6" s="5" t="s">
        <v>15</v>
      </c>
    </row>
    <row r="7" customHeight="1" spans="1:11">
      <c r="A7" s="11" t="s">
        <v>29</v>
      </c>
      <c r="B7" s="5">
        <v>2398</v>
      </c>
      <c r="C7" s="5" t="s">
        <v>21</v>
      </c>
      <c r="D7" s="5" t="s">
        <v>30</v>
      </c>
      <c r="E7" s="5" t="s">
        <v>31</v>
      </c>
      <c r="F7" s="6">
        <v>46016</v>
      </c>
      <c r="G7" s="7">
        <v>46016</v>
      </c>
      <c r="H7" s="5" t="s">
        <v>14</v>
      </c>
      <c r="I7" s="5" t="s">
        <v>15</v>
      </c>
    </row>
    <row r="8" customHeight="1" spans="1:11">
      <c r="A8" s="12" t="s">
        <v>11</v>
      </c>
      <c r="B8" s="5">
        <v>2385</v>
      </c>
      <c r="C8" s="5" t="s">
        <v>32</v>
      </c>
      <c r="D8" s="5" t="s">
        <v>33</v>
      </c>
      <c r="E8" s="5" t="s">
        <v>34</v>
      </c>
      <c r="F8" s="6">
        <v>46016</v>
      </c>
      <c r="G8" s="7">
        <v>46016</v>
      </c>
      <c r="H8" s="5" t="s">
        <v>14</v>
      </c>
      <c r="I8" s="5" t="s">
        <v>15</v>
      </c>
      <c r="J8" t="s">
        <v>35</v>
      </c>
      <c r="K8" s="2" t="str">
        <f>VLOOKUP(B8,[1]线上建店审批明细!$A:$E,5,0)</f>
        <v>已抄送 | 线上督导-鹿世鸣-督导部 已抄送 01/11 16:13;
已同意 | 贺龙娇 已同意 01/12 16:40;
已同意 | 杨文慧 已同意 01/12 17:15;
已同意 | 施工监理-范钟欣-13817733545 已同意 01/12 17:39;
已同意 | 王伟清 已同意 01/13 10:01;
已同意 | 刘崇宇-18616022203-督导部 已同意 01/13 17:42;
已同意 | 蔡文佳-18916500662-线下运营部 已同意 01/13 21:12;
已同意 | 线下堂食助理-婷婷 已同意 01/14 10:24;
已同意 | 单玮-13816935059-督导部 已同意 01/14 18:33;
已抄送 | 卢家豪 已抄送 01/14 18:33;
已抄送 | 抖音&amp;快手-周幂-17521714387 已抄送 01/14 18:33;
已同意 | 苏磊 已同意 01/14 18:33;
已抄送 | 翁嘉隆-线上运营总监-13611699917 已抄送 01/14 18:33;
已同意 | 陈宇航-线上助理-18350349892 三平台建店完成 已同意 01/19 17:08;
已抄送 | 谢芳 已抄送 01/19 17:08;
已抄送 | 黄琪艳 已抄送 01/19 17:08;
已抄送 | 王京海 已抄送 01/19 17:08</v>
      </c>
    </row>
    <row r="9" customHeight="1" spans="1:11">
      <c r="A9" s="10" t="s">
        <v>25</v>
      </c>
      <c r="B9" s="5">
        <v>2296</v>
      </c>
      <c r="C9" s="5" t="s">
        <v>36</v>
      </c>
      <c r="D9" s="5" t="s">
        <v>27</v>
      </c>
      <c r="E9" s="5" t="s">
        <v>37</v>
      </c>
      <c r="F9" s="6">
        <v>46017</v>
      </c>
      <c r="G9" s="7">
        <v>46017</v>
      </c>
      <c r="H9" s="5" t="s">
        <v>14</v>
      </c>
      <c r="I9" s="5" t="s">
        <v>15</v>
      </c>
    </row>
    <row r="10" customHeight="1" spans="1:11">
      <c r="A10" s="10" t="s">
        <v>25</v>
      </c>
      <c r="B10" s="5">
        <v>2203</v>
      </c>
      <c r="C10" s="5" t="s">
        <v>36</v>
      </c>
      <c r="D10" s="5" t="s">
        <v>27</v>
      </c>
      <c r="E10" s="5" t="s">
        <v>38</v>
      </c>
      <c r="F10" s="6">
        <v>46017</v>
      </c>
      <c r="G10" s="7">
        <v>46017</v>
      </c>
      <c r="H10" s="5" t="s">
        <v>14</v>
      </c>
      <c r="I10" s="5" t="s">
        <v>15</v>
      </c>
    </row>
    <row r="11" customHeight="1" spans="1:11">
      <c r="A11" s="9" t="s">
        <v>20</v>
      </c>
      <c r="B11" s="5">
        <v>2410</v>
      </c>
      <c r="C11" s="5" t="s">
        <v>32</v>
      </c>
      <c r="D11" s="5" t="s">
        <v>39</v>
      </c>
      <c r="E11" s="5" t="s">
        <v>40</v>
      </c>
      <c r="F11" s="6">
        <v>46017</v>
      </c>
      <c r="G11" s="7">
        <v>46017</v>
      </c>
      <c r="H11" s="5" t="s">
        <v>14</v>
      </c>
      <c r="I11" s="5" t="s">
        <v>15</v>
      </c>
    </row>
    <row r="12" customHeight="1" spans="1:11">
      <c r="A12" s="9" t="s">
        <v>20</v>
      </c>
      <c r="B12" s="5">
        <v>2237</v>
      </c>
      <c r="C12" s="5" t="s">
        <v>21</v>
      </c>
      <c r="D12" s="5" t="s">
        <v>22</v>
      </c>
      <c r="E12" s="5" t="s">
        <v>41</v>
      </c>
      <c r="F12" s="6">
        <v>46017</v>
      </c>
      <c r="G12" s="7">
        <v>46017</v>
      </c>
      <c r="H12" s="5" t="s">
        <v>14</v>
      </c>
      <c r="I12" s="5" t="s">
        <v>15</v>
      </c>
    </row>
    <row r="13" customHeight="1" spans="1:11">
      <c r="A13" s="13" t="s">
        <v>42</v>
      </c>
      <c r="B13" s="5">
        <v>2404</v>
      </c>
      <c r="C13" s="5" t="s">
        <v>21</v>
      </c>
      <c r="D13" s="5" t="s">
        <v>43</v>
      </c>
      <c r="E13" s="5" t="s">
        <v>44</v>
      </c>
      <c r="F13" s="6">
        <v>46017</v>
      </c>
      <c r="G13" s="7">
        <v>46017</v>
      </c>
      <c r="H13" s="5" t="s">
        <v>14</v>
      </c>
      <c r="I13" s="5" t="s">
        <v>15</v>
      </c>
    </row>
    <row r="14" customHeight="1" spans="1:11">
      <c r="A14" s="10" t="s">
        <v>25</v>
      </c>
      <c r="B14" s="5">
        <v>2338</v>
      </c>
      <c r="C14" s="5" t="s">
        <v>36</v>
      </c>
      <c r="D14" s="5" t="s">
        <v>45</v>
      </c>
      <c r="E14" s="5" t="s">
        <v>46</v>
      </c>
      <c r="F14" s="6">
        <v>46017</v>
      </c>
      <c r="G14" s="7">
        <v>46017</v>
      </c>
      <c r="H14" s="5" t="s">
        <v>14</v>
      </c>
      <c r="I14" s="5" t="s">
        <v>15</v>
      </c>
    </row>
    <row r="15" customHeight="1" spans="1:11">
      <c r="A15" s="11" t="s">
        <v>29</v>
      </c>
      <c r="B15" s="5">
        <v>2311</v>
      </c>
      <c r="C15" s="5" t="s">
        <v>21</v>
      </c>
      <c r="D15" s="5" t="s">
        <v>47</v>
      </c>
      <c r="E15" s="5" t="s">
        <v>48</v>
      </c>
      <c r="F15" s="6">
        <v>46018</v>
      </c>
      <c r="G15" s="7">
        <v>46018</v>
      </c>
      <c r="H15" s="5" t="s">
        <v>14</v>
      </c>
      <c r="I15" s="5" t="s">
        <v>15</v>
      </c>
    </row>
    <row r="16" customHeight="1" spans="1:11">
      <c r="A16" s="14" t="s">
        <v>49</v>
      </c>
      <c r="B16" s="5">
        <v>2352</v>
      </c>
      <c r="C16" s="5" t="s">
        <v>50</v>
      </c>
      <c r="D16" s="5" t="s">
        <v>51</v>
      </c>
      <c r="E16" s="5" t="s">
        <v>52</v>
      </c>
      <c r="F16" s="6">
        <v>46018</v>
      </c>
      <c r="G16" s="7">
        <v>46018</v>
      </c>
      <c r="H16" s="5" t="s">
        <v>14</v>
      </c>
      <c r="I16" s="5" t="s">
        <v>15</v>
      </c>
    </row>
    <row r="17" customHeight="1" spans="1:11">
      <c r="A17" s="10" t="s">
        <v>25</v>
      </c>
      <c r="B17" s="5">
        <v>2354</v>
      </c>
      <c r="C17" s="5" t="s">
        <v>36</v>
      </c>
      <c r="D17" s="5" t="s">
        <v>53</v>
      </c>
      <c r="E17" s="5" t="s">
        <v>54</v>
      </c>
      <c r="F17" s="6">
        <v>46018</v>
      </c>
      <c r="G17" s="7">
        <v>46018</v>
      </c>
      <c r="H17" s="5" t="s">
        <v>14</v>
      </c>
      <c r="I17" s="5" t="s">
        <v>15</v>
      </c>
    </row>
    <row r="18" customHeight="1" spans="1:11">
      <c r="A18" s="10" t="s">
        <v>25</v>
      </c>
      <c r="B18" s="5">
        <v>2362</v>
      </c>
      <c r="C18" s="5" t="s">
        <v>36</v>
      </c>
      <c r="D18" s="5" t="s">
        <v>27</v>
      </c>
      <c r="E18" s="5" t="s">
        <v>55</v>
      </c>
      <c r="F18" s="6">
        <v>46018</v>
      </c>
      <c r="G18" s="7">
        <v>46018</v>
      </c>
      <c r="H18" s="5" t="s">
        <v>14</v>
      </c>
      <c r="I18" s="5" t="s">
        <v>15</v>
      </c>
    </row>
    <row r="19" customHeight="1" spans="1:11">
      <c r="A19" s="10" t="s">
        <v>25</v>
      </c>
      <c r="B19" s="5">
        <v>2414</v>
      </c>
      <c r="C19" s="5" t="s">
        <v>36</v>
      </c>
      <c r="D19" s="5" t="s">
        <v>27</v>
      </c>
      <c r="E19" s="5" t="s">
        <v>56</v>
      </c>
      <c r="F19" s="6">
        <v>46018</v>
      </c>
      <c r="G19" s="7">
        <v>46018</v>
      </c>
      <c r="H19" s="5" t="s">
        <v>14</v>
      </c>
      <c r="I19" s="5" t="s">
        <v>15</v>
      </c>
      <c r="J19" t="s">
        <v>35</v>
      </c>
      <c r="K19" s="2" t="str">
        <f>VLOOKUP(B19,[1]线上建店审批明细!$A:$E,5,0)</f>
        <v>已抄送 | 线上督导服务号-如有异议请联系区域经理（此账号不做回复） 已抄送 01/13 10:13;
已抄送 | 线上督导-鹿世鸣-督导部 已抄送 01/13 10:13;
已同意 | 贺龙娇 已同意 01/14 15:36;
已同意 | 杨文慧 已同意 01/14 15:52;
已同意 | 施工监理-范钟欣-13817733545 已同意 01/14 17:33;
已同意 | 王伟清 已同意 01/14 17:50;
已同意 | 刘崇宇-18616022203-督导部 已同意 01/15 13:44;
已同意 | 蔡文佳-18916500662-线下运营部 已同意 01/15 15:00;
已同意 | 线下堂食助理-婷婷 已同意 01/15 15:39;
已同意 | 单玮-13816935059-督导部 已同意 01/15 17:15;
已抄送 | 卢家豪 已抄送 01/15 17:15;
已抄送 | 抖音&amp;快手-周幂-17521714387 已抄送 01/15 17:15;
已同意 | 苏磊 已同意 01/15 17:15;
已抄送 | 翁嘉隆-线上运营总监-13611699917 已抄送 01/15 17:15;
已同意 | 陈宇航-线上助理-18350349892 三平台建店完成 已同意 01/19 17:11;
已抄送 | 谢芳 已抄送 01/19 17:11;
已抄送 | 黄琪艳 已抄送 01/19 17:11;
已抄送 | 王京海 已抄送 01/19 17:11</v>
      </c>
    </row>
    <row r="20" customHeight="1" spans="1:11">
      <c r="A20" s="10" t="s">
        <v>25</v>
      </c>
      <c r="B20" s="5">
        <v>2426</v>
      </c>
      <c r="C20" s="5" t="s">
        <v>36</v>
      </c>
      <c r="D20" s="5" t="s">
        <v>27</v>
      </c>
      <c r="E20" s="5" t="s">
        <v>57</v>
      </c>
      <c r="F20" s="6">
        <v>46018</v>
      </c>
      <c r="G20" s="7">
        <v>46018</v>
      </c>
      <c r="H20" s="5" t="s">
        <v>14</v>
      </c>
      <c r="I20" s="5" t="s">
        <v>15</v>
      </c>
    </row>
    <row r="21" customHeight="1" spans="1:11">
      <c r="A21" s="8" t="s">
        <v>16</v>
      </c>
      <c r="B21" s="5">
        <v>2411</v>
      </c>
      <c r="C21" s="5" t="s">
        <v>18</v>
      </c>
      <c r="D21" s="5" t="s">
        <v>18</v>
      </c>
      <c r="E21" s="5" t="s">
        <v>58</v>
      </c>
      <c r="F21" s="6">
        <v>46019</v>
      </c>
      <c r="G21" s="7">
        <v>46019</v>
      </c>
      <c r="H21" s="5" t="s">
        <v>14</v>
      </c>
      <c r="I21" s="5" t="s">
        <v>15</v>
      </c>
    </row>
    <row r="22" customHeight="1" spans="1:11">
      <c r="A22" s="13" t="s">
        <v>42</v>
      </c>
      <c r="B22" s="5">
        <v>2453</v>
      </c>
      <c r="C22" s="5" t="s">
        <v>21</v>
      </c>
      <c r="D22" s="5" t="s">
        <v>43</v>
      </c>
      <c r="E22" s="5" t="s">
        <v>59</v>
      </c>
      <c r="F22" s="6">
        <v>46020</v>
      </c>
      <c r="G22" s="7">
        <v>46020</v>
      </c>
      <c r="H22" s="5" t="s">
        <v>14</v>
      </c>
      <c r="I22" s="5" t="s">
        <v>15</v>
      </c>
    </row>
    <row r="23" customHeight="1" spans="1:11">
      <c r="A23" s="15" t="s">
        <v>16</v>
      </c>
      <c r="B23" s="5">
        <v>2257</v>
      </c>
      <c r="C23" s="5" t="s">
        <v>17</v>
      </c>
      <c r="D23" s="5" t="s">
        <v>18</v>
      </c>
      <c r="E23" s="5" t="s">
        <v>60</v>
      </c>
      <c r="F23" s="6">
        <v>46020</v>
      </c>
      <c r="G23" s="7">
        <v>46020</v>
      </c>
      <c r="H23" s="5" t="s">
        <v>14</v>
      </c>
      <c r="I23" s="16" t="s">
        <v>15</v>
      </c>
    </row>
    <row r="24" customHeight="1" spans="1:11">
      <c r="A24" s="11" t="s">
        <v>29</v>
      </c>
      <c r="B24" s="5">
        <v>2442</v>
      </c>
      <c r="C24" s="5" t="s">
        <v>32</v>
      </c>
      <c r="D24" s="5" t="s">
        <v>61</v>
      </c>
      <c r="E24" s="5" t="s">
        <v>62</v>
      </c>
      <c r="F24" s="6">
        <v>46020</v>
      </c>
      <c r="G24" s="7">
        <v>46020</v>
      </c>
      <c r="H24" s="5" t="s">
        <v>14</v>
      </c>
      <c r="I24" s="5" t="s">
        <v>15</v>
      </c>
    </row>
    <row r="25" customHeight="1" spans="1:11">
      <c r="A25" s="10" t="s">
        <v>25</v>
      </c>
      <c r="B25" s="5">
        <v>2369</v>
      </c>
      <c r="C25" s="5" t="s">
        <v>36</v>
      </c>
      <c r="D25" s="5" t="s">
        <v>27</v>
      </c>
      <c r="E25" s="5" t="s">
        <v>63</v>
      </c>
      <c r="F25" s="6">
        <v>46386</v>
      </c>
      <c r="G25" s="7">
        <v>46386</v>
      </c>
      <c r="H25" s="5" t="s">
        <v>14</v>
      </c>
      <c r="I25" s="5" t="s">
        <v>15</v>
      </c>
    </row>
    <row r="26" customHeight="1" spans="1:11">
      <c r="A26" s="14" t="s">
        <v>49</v>
      </c>
      <c r="B26" s="5">
        <v>2421</v>
      </c>
      <c r="C26" s="5" t="s">
        <v>50</v>
      </c>
      <c r="D26" s="5" t="s">
        <v>51</v>
      </c>
      <c r="E26" s="5" t="s">
        <v>64</v>
      </c>
      <c r="F26" s="6">
        <v>46022</v>
      </c>
      <c r="G26" s="7">
        <v>46022</v>
      </c>
      <c r="H26" s="5" t="s">
        <v>14</v>
      </c>
      <c r="I26" s="5" t="s">
        <v>15</v>
      </c>
    </row>
    <row r="27" customHeight="1" spans="1:11">
      <c r="A27" s="4" t="s">
        <v>11</v>
      </c>
      <c r="B27" s="5">
        <v>2470</v>
      </c>
      <c r="C27" s="5" t="s">
        <v>12</v>
      </c>
      <c r="D27" s="5" t="s">
        <v>12</v>
      </c>
      <c r="E27" s="5" t="s">
        <v>65</v>
      </c>
      <c r="F27" s="6">
        <v>46022</v>
      </c>
      <c r="G27" s="7">
        <v>46022</v>
      </c>
      <c r="H27" s="5" t="s">
        <v>14</v>
      </c>
      <c r="I27" s="5" t="s">
        <v>15</v>
      </c>
    </row>
    <row r="28" customHeight="1" spans="1:11">
      <c r="A28" s="9" t="s">
        <v>20</v>
      </c>
      <c r="B28" s="5">
        <v>2376</v>
      </c>
      <c r="C28" s="5" t="s">
        <v>21</v>
      </c>
      <c r="D28" s="5" t="s">
        <v>22</v>
      </c>
      <c r="E28" s="5" t="s">
        <v>66</v>
      </c>
      <c r="F28" s="6">
        <v>46023</v>
      </c>
      <c r="G28" s="7">
        <v>46023</v>
      </c>
      <c r="H28" s="5" t="s">
        <v>14</v>
      </c>
      <c r="I28" s="5" t="s">
        <v>15</v>
      </c>
      <c r="J28" t="s">
        <v>35</v>
      </c>
      <c r="K28" s="2" t="str">
        <f>VLOOKUP(B28,[1]线上建店审批明细!$A:$E,5,0)</f>
        <v>已抄送 | 线上督导服务号-如有异议请联系区域经理（此账号不做回复） 已抄送 01/25 10:44;
已抄送 | 谢芳 已抄送 01/25 10:44;
已抄送 | 线上督导-鹿世鸣-督导部 已抄送 01/25 10:44;
已同意 | 李婕 已同意 01/26 19:06;
已同意 | 杨文慧 已同意 01/26 19:16;
已同意 | 施工监理-范钟欣-13817733545 已同意 01/27 09:12;
已同意 | 王伟清 已同意 01/27 09:13;
已同意 | 刘崇宇-18616022203-督导部 已同意 01/30 13:46;
已同意 | 蔡文佳-18916500662-线下运营部 已同意 01/30 16:08;
已同意 | 线下堂食助理-婷婷 已同意 01/30 16:14;
已同意 | 单玮-13816935059-督导部 已同意 01/30 16:55;
已抄送 | 卢家豪 已抄送 01/30 16:55;
已抄送 | 抖音&amp;快手-周幂-17521714387 已抄送 01/30 16:55;
已同意 | 苏磊 已同意 01/30 17:04;
已抄送 | 翁嘉隆-线上运营总监-13611699917 已抄送 01/30 17:04;
已同意 | 陈宇航-线上助理-18350349892 门店换证 已同意 02/05 11:46;
已抄送 | 谢芳 已抄送 02/05 11:46;
已抄送 | 黄琪艳 已抄送 02/05 11:46;
已抄送 | 王京海 已抄送 02/05 11:46</v>
      </c>
    </row>
    <row r="29" customHeight="1" spans="1:11">
      <c r="A29" s="11" t="s">
        <v>29</v>
      </c>
      <c r="B29" s="5">
        <v>2420</v>
      </c>
      <c r="C29" s="5" t="s">
        <v>21</v>
      </c>
      <c r="D29" s="5" t="s">
        <v>67</v>
      </c>
      <c r="E29" s="5" t="s">
        <v>68</v>
      </c>
      <c r="F29" s="6">
        <v>45658</v>
      </c>
      <c r="G29" s="7">
        <v>45658</v>
      </c>
      <c r="H29" s="5" t="s">
        <v>14</v>
      </c>
      <c r="I29" s="5" t="s">
        <v>15</v>
      </c>
      <c r="J29" t="s">
        <v>35</v>
      </c>
      <c r="K29" s="2" t="str">
        <f>VLOOKUP(B29,[1]线上建店审批明细!$A:$E,5,0)</f>
        <v>已抄送 | 线上督导服务号-如有异议请联系区域经理（此账号不做回复） 已抄送 01/13 15:25;
已抄送 | 谢芳 已抄送 01/13 15:25;
已抄送 | 线上督导-鹿世鸣-督导部 已抄送 01/13 15:25;
已同意 | 贺龙娇 已同意 01/13 20:58;
已同意 | 谢珍珍 已同意 01/14 10:20;
已同意 | 施工监理-范钟欣-13817733545 已同意 01/14 17:11;
已同意 | 王伟清 已同意 01/14 17:51;
已同意 | 刘崇宇-18616022203-督导部 已同意 01/15 13:43;
已同意 | 蔡文佳-18916500662-线下运营部 已同意 01/15 15:03;
已同意 | 线下堂食助理-婷婷 已同意 01/15 15:38;
已同意 | 单玮-13816935059-督导部 已同意 01/15 17:15;
已抄送 | 卢家豪 已抄送 01/15 17:15;
已抄送 | 抖音&amp;快手-周幂-17521714387 已抄送 01/15 17:15;
已同意 | 苏磊 已同意 01/15 17:15;
已抄送 | 翁嘉隆-线上运营总监-13611699917 已抄送 01/15 17:15;
已同意 | 陈宇航-线上助理-18350349892 三平台建店完成 已同意 01/19 17:12;
已抄送 | 谢芳 已抄送 01/19 17:12;
已抄送 | 黄琪艳 已抄送 01/19 17:12;
已抄送 | 王京海 已抄送 01/19 17:12</v>
      </c>
    </row>
    <row r="30" customHeight="1" spans="1:11">
      <c r="A30" s="11" t="s">
        <v>29</v>
      </c>
      <c r="B30" s="5">
        <v>2382</v>
      </c>
      <c r="C30" s="5" t="s">
        <v>21</v>
      </c>
      <c r="D30" s="5" t="s">
        <v>67</v>
      </c>
      <c r="E30" s="5" t="s">
        <v>69</v>
      </c>
      <c r="F30" s="6">
        <v>46023</v>
      </c>
      <c r="G30" s="7">
        <v>46023</v>
      </c>
      <c r="H30" s="5" t="s">
        <v>14</v>
      </c>
      <c r="I30" s="5" t="s">
        <v>15</v>
      </c>
    </row>
    <row r="31" customHeight="1" spans="1:11">
      <c r="A31" s="11" t="s">
        <v>29</v>
      </c>
      <c r="B31" s="5">
        <v>2481</v>
      </c>
      <c r="C31" s="5" t="s">
        <v>21</v>
      </c>
      <c r="D31" s="5" t="s">
        <v>47</v>
      </c>
      <c r="E31" s="5" t="s">
        <v>70</v>
      </c>
      <c r="F31" s="6">
        <v>46024</v>
      </c>
      <c r="G31" s="7">
        <v>46024</v>
      </c>
      <c r="H31" s="5" t="s">
        <v>14</v>
      </c>
      <c r="I31" s="5" t="s">
        <v>15</v>
      </c>
      <c r="J31" t="s">
        <v>35</v>
      </c>
      <c r="K31" s="2" t="str">
        <f>VLOOKUP(B31,[1]线上建店审批明细!$A:$E,5,0)</f>
        <v>已抄送 | 线上督导服务号-如有异议请联系区域经理（此账号不做回复） 已抄送 01/12 11:31;
已抄送 | 线上督导-鹿世鸣-督导部 已抄送 01/12 11:31;
已同意 | 诸静逸 已同意 01/12 11:41;
已同意 | 谢珍珍 已同意 01/12 11:44;
已同意 | 施工监理-范钟欣-13817733545 已同意 01/12 15:52;
已同意 | 王伟清 已同意 01/12 16:08;
已同意 | 刘崇宇-18616022203-督导部 已同意 01/12 17:44;
已同意 | 蔡文佳-18916500662-线下运营部 已同意 01/13 11:26;
已同意 | 线下堂食助理-婷婷 已同意 01/13 11:41;
已同意 | 单玮-13816935059-督导部 已同意 01/13 16:55;
已抄送 | 卢家豪 已抄送 01/13 16:55;
已抄送 | 抖音&amp;快手-周幂-17521714387 已抄送 01/13 16:55;
已同意 | 苏磊 已同意 01/13 16:55;
已抄送 | 翁嘉隆-线上运营总监-13611699917 已抄送 01/13 16:55;
已同意 | 陈宇航-线上助理-18350349892 三平台建店完成 已同意 01/17 17:15;
已抄送 | 谢芳 已抄送 01/17 17:15;
已抄送 | 黄琪艳 已抄送 01/17 17:15;
已抄送 | 王京海 已抄送 01/17 17:15</v>
      </c>
    </row>
    <row r="32" customHeight="1" spans="1:11">
      <c r="A32" s="10" t="s">
        <v>25</v>
      </c>
      <c r="B32" s="5">
        <v>2446</v>
      </c>
      <c r="C32" s="5" t="s">
        <v>36</v>
      </c>
      <c r="D32" s="5" t="s">
        <v>27</v>
      </c>
      <c r="E32" s="5" t="s">
        <v>71</v>
      </c>
      <c r="F32" s="6">
        <v>46024</v>
      </c>
      <c r="G32" s="7">
        <v>46024</v>
      </c>
      <c r="H32" s="5" t="s">
        <v>14</v>
      </c>
      <c r="I32" s="5" t="s">
        <v>15</v>
      </c>
      <c r="J32" t="s">
        <v>35</v>
      </c>
      <c r="K32" s="2" t="str">
        <f>VLOOKUP(B32,[1]线上建店审批明细!$A:$E,5,0)</f>
        <v>已抄送 | 线下堂食助理-婷婷 已抄送 01/09 14:35;
已抄送 | 蔡文佳-18916500662-线下运营部 已抄送 01/09 14:35;
已抄送 | 谢芳 已抄送 01/09 14:35;
已抄送 | 线上督导-鹿世鸣-督导部 已抄送 01/09 14:35;
已转审 | 贺龙娇 已转审 01/10 17:26;
已同意 | 诸静逸 已同意 01/12 12:28;
已同意 | 杨文慧 已同意 01/12 12:30;
已同意 | 施工监理-范钟欣-13817733545 已同意 01/12 15:51;
已同意 | 王伟清 已同意 01/12 16:09;
已同意 | 刘崇宇-18616022203-督导部 已同意 01/12 17:43;
已同意 | 蔡文佳-18916500662-线下运营部 已同意 01/13 11:28;
已同意 | 线下堂食助理-婷婷 已同意 01/13 11:41;
已同意 | 单玮-13816935059-督导部 已同意 01/13 16:55;
已抄送 | 卢家豪 已抄送 01/13 16:55;
已抄送 | 抖音&amp;快手-周幂-17521714387 已抄送 01/13 16:55;
已同意 | 苏磊 已同意 01/13 16:56;
已抄送 | 翁嘉隆-线上运营总监-13611699917 已抄送 01/13 16:56;
已同意 | 陈宇航-线上助理-18350349892 三平台建店完成 已同意 01/17 17:16;
已抄送 | 谢芳 已抄送 01/17 17:16;
已抄送 | 黄琪艳 已抄送 01/17 17:16;
已抄送 | 王京海 已抄送 01/17 17:16</v>
      </c>
    </row>
    <row r="33" customHeight="1" spans="1:11">
      <c r="A33" s="10" t="s">
        <v>25</v>
      </c>
      <c r="B33" s="5">
        <v>2435</v>
      </c>
      <c r="C33" s="5" t="s">
        <v>36</v>
      </c>
      <c r="D33" s="5" t="s">
        <v>27</v>
      </c>
      <c r="E33" s="5" t="s">
        <v>72</v>
      </c>
      <c r="F33" s="6">
        <v>46025</v>
      </c>
      <c r="G33" s="7">
        <v>46025</v>
      </c>
      <c r="H33" s="5" t="s">
        <v>14</v>
      </c>
      <c r="I33" s="5" t="s">
        <v>15</v>
      </c>
      <c r="J33" t="s">
        <v>73</v>
      </c>
      <c r="K33" s="2" t="str">
        <f>VLOOKUP(B33,[1]线上建店审批明细!$A:$E,5,0)</f>
        <v>已抄送 | 线上督导服务号-如有异议请联系区域经理（此账号不做回复） 已抄送 01/13 15:26;
已抄送 | 谢芳 已抄送 01/13 15:26;
已抄送 | 线上督导-鹿世鸣-督导部 已抄送 01/13 15:26;
已同意 | 贺龙娇 已同意 01/13 20:56;
已同意 | 谢珍珍 已同意 01/14 10:20;
已同意 | 施工监理-范钟欣-13817733545 已同意 01/27 10:34;
已同意 | 王伟清 已同意 01/27 11:09;
已同意 | 刘崇宇-18616022203-督导部 已同意 01/30 13:48;
已同意 | 蔡文佳-18916500662-线下运营部 已同意 01/30 16:15;
已同意 | 线下堂食助理-婷婷 已同意 01/30 16:16;
已同意 | 单玮-13816935059-督导部 已同意 01/30 16:51;
已抄送 | 卢家豪 已抄送 01/30 16:51;
已抄送 | 抖音&amp;快手-周幂-17521714387 已抄送 01/30 16:51;
已同意 | 苏磊 已同意 01/30 17:04;
已抄送 | 翁嘉隆-线上运营总监-13611699917 已抄送 01/30 17:04</v>
      </c>
    </row>
    <row r="34" customHeight="1" spans="1:11">
      <c r="A34" s="9" t="s">
        <v>20</v>
      </c>
      <c r="B34" s="5">
        <v>2405</v>
      </c>
      <c r="C34" s="5" t="s">
        <v>32</v>
      </c>
      <c r="D34" s="5" t="s">
        <v>39</v>
      </c>
      <c r="E34" s="5" t="s">
        <v>74</v>
      </c>
      <c r="F34" s="6">
        <v>46025</v>
      </c>
      <c r="G34" s="7">
        <v>46025</v>
      </c>
      <c r="H34" s="5" t="s">
        <v>14</v>
      </c>
      <c r="I34" s="5" t="s">
        <v>15</v>
      </c>
    </row>
    <row r="35" customHeight="1" spans="1:11">
      <c r="A35" s="10" t="s">
        <v>25</v>
      </c>
      <c r="B35" s="5">
        <v>2360</v>
      </c>
      <c r="C35" s="5" t="s">
        <v>36</v>
      </c>
      <c r="D35" s="5" t="s">
        <v>27</v>
      </c>
      <c r="E35" s="5" t="s">
        <v>75</v>
      </c>
      <c r="F35" s="6">
        <v>46027</v>
      </c>
      <c r="G35" s="7">
        <v>46027</v>
      </c>
      <c r="H35" s="5" t="s">
        <v>14</v>
      </c>
      <c r="I35" s="5" t="s">
        <v>15</v>
      </c>
      <c r="J35" t="s">
        <v>35</v>
      </c>
      <c r="K35" s="2" t="str">
        <f>VLOOKUP(B35,[1]线上建店审批明细!$A:$E,5,0)</f>
        <v>已抄送 | 线上督导服务号-如有异议请联系区域经理（此账号不做回复） 已抄送 01/12 15:19;
已抄送 | 线上督导-鹿世鸣-督导部 已抄送 01/12 15:19;
已同意 | 贺龙娇 已同意 01/12 16:05;
已同意 | 杨文慧 已同意 01/12 16:14;
已同意 | 施工监理-范钟欣-13817733545 已同意 01/12 16:34;
已同意 | 王伟清 已同意 01/12 18:25;
已同意 | 刘崇宇-18616022203-督导部 已同意 01/27 15:11;
已同意 | 蔡文佳-18916500662-线下运营部 已同意 01/27 20:39;
已同意 | 休息中-线下堂食助理-婷婷 已同意 01/28 09:57;
已同意 | 单玮-13816935059-督导部 已同意 01/28 10:19;
已抄送 | 卢家豪 已抄送 01/28 10:19;
已抄送 | 抖音&amp;快手-周幂-17521714387 已抄送 01/28 10:19;
已同意 | 苏磊 已同意 01/28 10:19;
已抄送 | 翁嘉隆-线上运营总监-13611699917 已抄送 01/28 10:19;
已同意 | 陈宇航-线上助理-18350349892 三平台建店完成 已同意 01/31 11:20;
已抄送 | 谢芳 已抄送 01/31 11:20;
已抄送 | 黄琪艳 已抄送 01/31 11:20;
已抄送 | 王京海 已抄送 01/31 11:20</v>
      </c>
    </row>
    <row r="36" customHeight="1" spans="1:11">
      <c r="A36" s="12" t="s">
        <v>11</v>
      </c>
      <c r="B36" s="5">
        <v>2436</v>
      </c>
      <c r="C36" s="5" t="s">
        <v>21</v>
      </c>
      <c r="D36" s="5" t="s">
        <v>43</v>
      </c>
      <c r="E36" s="5" t="s">
        <v>76</v>
      </c>
      <c r="F36" s="6">
        <v>46026</v>
      </c>
      <c r="G36" s="7">
        <v>46026</v>
      </c>
      <c r="H36" s="5" t="s">
        <v>14</v>
      </c>
      <c r="I36" s="5" t="s">
        <v>15</v>
      </c>
      <c r="J36" t="s">
        <v>35</v>
      </c>
      <c r="K36" s="2" t="str">
        <f>VLOOKUP(B36,[1]线上建店审批明细!$A:$E,5,0)</f>
        <v>已抄送 | 线下堂食助理-婷婷 已抄送 01/08 10:16;
已抄送 | 蔡文佳-18916500662-线下运营部 已抄送 01/08 10:16;
已抄送 | 谢芳 已抄送 01/08 10:16;
已同意 | 贺龙娇 已同意 01/08 15:30;
已同意 | 杨文慧 已同意 01/08 15:43;
已同意 | 施工监理-范钟欣-13817733545 已同意 01/08 15:57;
已同意 | 王伟清 已同意 01/08 15:57;
已同意 | 刘崇宇-18616022203-督导部 已同意 01/08 18:27;
已同意 | 蔡文佳-18916500662-线下运营部 已同意 01/09 16:47;
已同意 | 线下堂食助理-婷婷 已同意 01/09 16:49;
已同意 | 单玮-13816935059-督导部 已同意 01/09 18:37;
已抄送 | 卢家豪 已抄送 01/09 18:37;
已抄送 | 抖音&amp;快手-周幂-17521714387 已抄送 01/09 18:37;
已同意 | 苏磊 已同意 01/09 18:41;
已同意 | 陈宇航-线上助理-18350349892 三平台建店完成 已同意 01/14 14:51;
已抄送 | 谢芳 已抄送 01/14 14:51;
已抄送 | 黄琪艳 已抄送 01/14 14:51;
已抄送 | 王京海 已抄送 01/14 14:51</v>
      </c>
    </row>
    <row r="37" customHeight="1" spans="1:11">
      <c r="A37" s="13" t="s">
        <v>42</v>
      </c>
      <c r="B37" s="5">
        <v>2463</v>
      </c>
      <c r="C37" s="5" t="s">
        <v>21</v>
      </c>
      <c r="D37" s="5" t="s">
        <v>43</v>
      </c>
      <c r="E37" s="5" t="s">
        <v>77</v>
      </c>
      <c r="F37" s="6">
        <v>46026</v>
      </c>
      <c r="G37" s="7">
        <v>46026</v>
      </c>
      <c r="H37" s="5" t="s">
        <v>14</v>
      </c>
      <c r="I37" s="5" t="s">
        <v>15</v>
      </c>
      <c r="J37" t="s">
        <v>35</v>
      </c>
      <c r="K37" s="2" t="str">
        <f>VLOOKUP(B37,[1]线上建店审批明细!$A:$E,5,0)</f>
        <v>已抄送 | 线上督导-鹿世鸣-督导部 已抄送 01/10 17:58;
已同意 | 诸静逸 已同意 01/12 13:32;
已同意 | 杨文慧 已同意 01/12 13:50;
已同意 | 施工监理-范钟欣-13817733545 已同意 01/12 15:48;
已同意 | 王伟清 已同意 01/12 16:09;
已同意 | 刘崇宇-18616022203-督导部 已同意 01/13 17:37;
已同意 | 蔡文佳-18916500662-线下运营部 已同意 01/13 21:10;
已同意 | 线下堂食助理-婷婷 已同意 01/14 10:23;
已同意 | 单玮-13816935059-督导部 已同意 01/14 14:07;
已抄送 | 卢家豪 已抄送 01/14 14:07;
已抄送 | 抖音&amp;快手-周幂-17521714387 已抄送 01/14 14:07;
已同意 | 苏磊 已同意 01/14 14:12;
已抄送 | 翁嘉隆-线上运营总监-13611699917 已抄送 01/14 14:12;
已同意 | 陈宇航-线上助理-18350349892 三平台建店完成 已同意 01/19 17:08;
已抄送 | 谢芳 已抄送 01/19 17:08;
已抄送 | 黄琪艳 已抄送 01/19 17:08;
已抄送 | 王京海 已抄送 01/19 17:08</v>
      </c>
    </row>
    <row r="38" customHeight="1" spans="1:11">
      <c r="A38" s="10" t="s">
        <v>25</v>
      </c>
      <c r="B38" s="5">
        <v>2328</v>
      </c>
      <c r="C38" s="5" t="s">
        <v>36</v>
      </c>
      <c r="D38" s="5" t="s">
        <v>27</v>
      </c>
      <c r="E38" s="5" t="s">
        <v>78</v>
      </c>
      <c r="F38" s="6">
        <v>46027</v>
      </c>
      <c r="G38" s="7">
        <v>46027</v>
      </c>
      <c r="H38" s="5" t="s">
        <v>14</v>
      </c>
      <c r="I38" s="5" t="s">
        <v>15</v>
      </c>
      <c r="J38" t="s">
        <v>35</v>
      </c>
      <c r="K38" s="2" t="str">
        <f>VLOOKUP(B38,[1]线上建店审批明细!$A:$E,5,0)</f>
        <v>已抄送 | 线上督导-鹿世鸣-督导部 已抄送 01/10 17:15;
已同意 | 贺龙娇 已同意 01/10 17:33;
已同意 | 杨文慧 已同意 01/10 17:45;
已同意 | 施工监理-范钟欣-13817733545 已同意 01/10 17:50;
已同意 | 王伟清 已同意 01/12 10:18;
已同意 | 刘崇宇-18616022203-督导部 已同意 01/12 17:42;
已同意 | 蔡文佳-18916500662-线下运营部 已同意 01/13 11:31;
已同意 | 线下堂食助理-婷婷 已同意 01/13 11:42;
已同意 | 单玮-13816935059-督导部 已同意 01/13 16:55;
已抄送 | 卢家豪 已抄送 01/13 16:55;
已抄送 | 抖音&amp;快手-周幂-17521714387 已抄送 01/13 16:55;
已同意 | 苏磊 已同意 01/13 16:56;
已抄送 | 翁嘉隆-线上运营总监-13611699917 已抄送 01/13 16:56;
已同意 | 陈宇航-线上助理-18350349892 三平台建店完成 已同意 01/17 17:16;
已抄送 | 谢芳 已抄送 01/17 17:16;
已抄送 | 黄琪艳 已抄送 01/17 17:16;
已抄送 | 王京海 已抄送 01/17 17:16</v>
      </c>
    </row>
    <row r="39" customHeight="1" spans="1:11">
      <c r="A39" s="9" t="s">
        <v>20</v>
      </c>
      <c r="B39" s="5">
        <v>2434</v>
      </c>
      <c r="C39" s="5" t="s">
        <v>21</v>
      </c>
      <c r="D39" s="5" t="s">
        <v>22</v>
      </c>
      <c r="E39" s="5" t="s">
        <v>79</v>
      </c>
      <c r="F39" s="6">
        <v>46027</v>
      </c>
      <c r="G39" s="7">
        <v>46027</v>
      </c>
      <c r="H39" s="5" t="s">
        <v>14</v>
      </c>
      <c r="I39" s="5" t="s">
        <v>15</v>
      </c>
      <c r="J39" t="s">
        <v>35</v>
      </c>
      <c r="K39" s="2" t="str">
        <f>VLOOKUP(B39,[1]线上建店审批明细!$A:$E,5,0)</f>
        <v>已抄送 | 线下堂食助理-婷婷 已抄送 01/09 14:25;
已抄送 | 蔡文佳-18916500662-线下运营部 已抄送 01/09 14:25;
已抄送 | 谢芳 已抄送 01/09 14:25;
已抄送 | 线上督导-鹿世鸣-督导部 已抄送 01/09 14:25;
已同意 | 贺龙娇 已同意 01/10 17:33;
已同意 | 杨文慧 已同意 01/10 17:45;
已同意 | 施工监理-范钟欣-13817733545 已同意 01/10 17:51;
已同意 | 王伟清 已同意 01/12 10:19;
已同意 | 刘崇宇-18616022203-督导部 已同意 01/12 17:41;
已同意 | 蔡文佳-18916500662-线下运营部 已同意 01/13 11:37;
已同意 | 线下堂食助理-婷婷 已同意 01/13 11:43;
已同意 | 单玮-13816935059-督导部 已同意 01/13 14:28;
已抄送 | 卢家豪 已抄送 01/13 14:28;
已抄送 | 抖音&amp;快手-周幂-17521714387 已抄送 01/13 14:28;
已同意 | 苏磊 已同意 01/13 14:30;
已抄送 | 翁嘉隆-线上运营总监-13611699917 已抄送 01/13 14:30;
已同意 | 陈宇航-线上助理-18350349892 三平台建店完成 已同意 01/17 17:15;
已抄送 | 谢芳 已抄送 01/17 17:15;
已抄送 | 黄琪艳 已抄送 01/17 17:15;
已抄送 | 王京海 已抄送 01/17 17:15</v>
      </c>
    </row>
    <row r="40" customHeight="1" spans="1:11">
      <c r="A40" s="13" t="s">
        <v>42</v>
      </c>
      <c r="B40" s="5">
        <v>2432</v>
      </c>
      <c r="C40" s="5" t="s">
        <v>21</v>
      </c>
      <c r="D40" s="5" t="s">
        <v>43</v>
      </c>
      <c r="E40" s="5" t="s">
        <v>80</v>
      </c>
      <c r="F40" s="6">
        <v>46027</v>
      </c>
      <c r="G40" s="7">
        <v>46027</v>
      </c>
      <c r="H40" s="5" t="s">
        <v>14</v>
      </c>
      <c r="I40" s="5" t="s">
        <v>15</v>
      </c>
    </row>
    <row r="41" customHeight="1" spans="1:11">
      <c r="A41" s="14" t="s">
        <v>49</v>
      </c>
      <c r="B41" s="5">
        <v>2412</v>
      </c>
      <c r="C41" s="5" t="s">
        <v>21</v>
      </c>
      <c r="D41" s="5" t="s">
        <v>43</v>
      </c>
      <c r="E41" s="5" t="s">
        <v>81</v>
      </c>
      <c r="F41" s="6">
        <v>46027</v>
      </c>
      <c r="G41" s="7">
        <v>46027</v>
      </c>
      <c r="H41" s="5" t="s">
        <v>14</v>
      </c>
      <c r="I41" s="5" t="s">
        <v>15</v>
      </c>
      <c r="J41" t="s">
        <v>35</v>
      </c>
      <c r="K41" s="2" t="str">
        <f>VLOOKUP(B41,[1]线上建店审批明细!$A:$E,5,0)</f>
        <v>已抄送 | 线上督导-鹿世鸣-督导部 已抄送 01/10 10:13;
已同意 | 贺龙娇 已同意 01/10 16:19;
已同意 | 杨文慧 已同意 01/10 17:23;
已同意 | 施工监理-范钟欣-13817733545 已同意 01/10 17:31;
已同意 | 王伟清 已同意 01/10 17:35;
已同意 | 刘崇宇-18616022203-督导部 已同意 01/10 20:59;
已同意 | 蔡文佳-18916500662-线下运营部 已同意 01/11 13:36;
已同意 | 线下堂食助理-婷婷 已同意 01/11 19:36;
已同意 | 单玮-13816935059-督导部 已同意 01/13 10:58;
已抄送 | 卢家豪 已抄送 01/13 10:58;
已抄送 | 抖音&amp;快手-周幂-17521714387 已抄送 01/13 10:58;
已同意 | 苏磊 已同意 01/13 10:58;
已抄送 | 翁嘉隆-线上运营总监-13611699917 已抄送 01/13 10:58;
已同意 | 陈宇航-线上助理-18350349892 三平台建店完成 已同意 01/17 17:15;
已抄送 | 谢芳 已抄送 01/17 17:15;
已抄送 | 黄琪艳 已抄送 01/17 17:15;
已抄送 | 王京海 已抄送 01/17 17:15</v>
      </c>
    </row>
    <row r="42" customHeight="1" spans="1:11">
      <c r="A42" s="8" t="s">
        <v>16</v>
      </c>
      <c r="B42" s="5">
        <v>2425</v>
      </c>
      <c r="C42" s="5" t="s">
        <v>26</v>
      </c>
      <c r="D42" s="5" t="s">
        <v>82</v>
      </c>
      <c r="E42" s="5" t="s">
        <v>83</v>
      </c>
      <c r="F42" s="6">
        <v>46027</v>
      </c>
      <c r="G42" s="7">
        <v>46027</v>
      </c>
      <c r="H42" s="5" t="s">
        <v>14</v>
      </c>
      <c r="I42" s="5" t="s">
        <v>15</v>
      </c>
    </row>
    <row r="43" customHeight="1" spans="1:11">
      <c r="A43" s="8" t="s">
        <v>16</v>
      </c>
      <c r="B43" s="5">
        <v>2460</v>
      </c>
      <c r="C43" s="5" t="s">
        <v>26</v>
      </c>
      <c r="D43" s="5" t="s">
        <v>82</v>
      </c>
      <c r="E43" s="5" t="s">
        <v>84</v>
      </c>
      <c r="F43" s="6">
        <v>46027</v>
      </c>
      <c r="G43" s="7">
        <v>46027</v>
      </c>
      <c r="H43" s="5" t="s">
        <v>14</v>
      </c>
      <c r="I43" s="5" t="s">
        <v>15</v>
      </c>
    </row>
    <row r="44" customHeight="1" spans="1:11">
      <c r="A44" s="8" t="s">
        <v>16</v>
      </c>
      <c r="B44" s="5">
        <v>2452</v>
      </c>
      <c r="C44" s="5" t="s">
        <v>26</v>
      </c>
      <c r="D44" s="5" t="s">
        <v>82</v>
      </c>
      <c r="E44" s="5" t="s">
        <v>85</v>
      </c>
      <c r="F44" s="6">
        <v>46027</v>
      </c>
      <c r="G44" s="7">
        <v>46027</v>
      </c>
      <c r="H44" s="5" t="s">
        <v>14</v>
      </c>
      <c r="I44" s="5" t="s">
        <v>15</v>
      </c>
      <c r="J44" t="s">
        <v>35</v>
      </c>
      <c r="K44" s="2" t="str">
        <f>VLOOKUP(B44,[1]线上建店审批明细!$A:$E,5,0)</f>
        <v>已抄送 | 线上督导服务号-如有异议请联系区域经理（此账号不做回复） 已抄送 01/14 11:39;
已抄送 | 谢芳 已抄送 01/14 11:39;
已抄送 | 线上督导-鹿世鸣-督导部 已抄送 01/14 11:39;
已同意 | 贺龙娇 已同意 01/15 17:14;
已同意 | 杨文慧 已同意 01/15 17:18;
已同意 | 施工监理-范钟欣-13817733545 已同意 01/16 10:56;
已同意 | 王伟清 已同意 01/16 11:05;
已同意 | 刘崇宇-18616022203-督导部 已同意 01/19 15:42;
已同意 | 蔡文佳-18916500662-线下运营部 已同意 01/19 19:20;
已同意 | 线下堂食助理-婷婷 已同意 01/20 10:21;
已同意 | 单玮-13816935059-督导部 已同意 01/20 13:58;
已抄送 | 卢家豪 已抄送 01/20 13:58;
已抄送 | 抖音&amp;快手-周幂-17521714387 已抄送 01/20 13:58;
已同意 | 苏磊 已同意 01/20 14:03;
已抄送 | 翁嘉隆-线上运营总监-13611699917 已抄送 01/20 14:03;
已同意 | 陈宇航-线上助理-18350349892 三平台建店完成 已同意 01/23 17:34;
已抄送 | 谢芳 已抄送 01/23 17:34;
已抄送 | 黄琪艳 已抄送 01/23 17:34;
已抄送 | 王京海 已抄送 01/23 17:34</v>
      </c>
    </row>
    <row r="45" customHeight="1" spans="1:11">
      <c r="A45" s="13" t="s">
        <v>42</v>
      </c>
      <c r="B45" s="5">
        <v>2471</v>
      </c>
      <c r="C45" s="5" t="s">
        <v>21</v>
      </c>
      <c r="D45" s="5" t="s">
        <v>43</v>
      </c>
      <c r="E45" s="5" t="s">
        <v>86</v>
      </c>
      <c r="F45" s="6">
        <v>46028</v>
      </c>
      <c r="G45" s="7">
        <v>46028</v>
      </c>
      <c r="H45" s="5" t="s">
        <v>14</v>
      </c>
      <c r="I45" s="5" t="s">
        <v>15</v>
      </c>
      <c r="J45" t="s">
        <v>35</v>
      </c>
      <c r="K45" s="2" t="str">
        <f>VLOOKUP(B45,[1]线上建店审批明细!$A:$E,5,0)</f>
        <v>已抄送 | 线上督导-鹿世鸣-督导部 已抄送 01/11 11:16;
已同意 | 诸静逸 已同意 01/12 13:38;
已同意 | 杨文慧 已同意 01/12 13:51;
已同意 | 施工监理-范钟欣-13817733545 已同意 01/12 15:46;
已同意 | 王伟清 已同意 01/12 16:09;
已同意 | 刘崇宇-18616022203-督导部 已同意 01/12 17:40;
已同意 | 蔡文佳-18916500662-线下运营部 已同意 01/13 11:30;
已同意 | 线下堂食助理-婷婷 已同意 01/13 11:42;
已同意 | 单玮-13816935059-督导部 已同意 01/13 18:49;
已抄送 | 卢家豪 已抄送 01/13 18:49;
已抄送 | 抖音&amp;快手-周幂-17521714387 已抄送 01/13 18:49;
已同意 | 苏磊 已同意 01/13 18:49;
已抄送 | 翁嘉隆-线上运营总监-13611699917 已抄送 01/13 18:49;
已同意 | 陈宇航-线上助理-18350349892 三平台建店完成 已同意 01/17 17:16;
已抄送 | 谢芳 已抄送 01/17 17:16;
已抄送 | 黄琪艳 已抄送 01/17 17:16;
已抄送 | 王京海 已抄送 01/17 17:16</v>
      </c>
    </row>
    <row r="46" customHeight="1" spans="1:11">
      <c r="A46" s="13" t="s">
        <v>42</v>
      </c>
      <c r="B46" s="5">
        <v>2396</v>
      </c>
      <c r="C46" s="5" t="s">
        <v>21</v>
      </c>
      <c r="D46" s="5" t="s">
        <v>43</v>
      </c>
      <c r="E46" s="5" t="s">
        <v>87</v>
      </c>
      <c r="F46" s="6">
        <v>46028</v>
      </c>
      <c r="G46" s="7">
        <v>46028</v>
      </c>
      <c r="H46" s="5" t="s">
        <v>14</v>
      </c>
      <c r="I46" s="5" t="s">
        <v>15</v>
      </c>
      <c r="J46" t="s">
        <v>35</v>
      </c>
      <c r="K46" s="2" t="str">
        <f>VLOOKUP(B46,[1]线上建店审批明细!$A:$E,5,0)</f>
        <v>已抄送 | 线上督导-鹿世鸣-督导部 已抄送 01/12 09:33;
已同意 | 贺龙娇 已同意 01/14 15:38;
已同意 | 杨文慧 已同意 01/14 15:52;
已同意 | 施工监理-范钟欣-13817733545 已同意 01/14 17:34;
已同意 | 王伟清 已同意 01/14 17:50;
已同意 | 刘崇宇-18616022203-督导部 已同意 01/15 13:45;
已同意 | 蔡文佳-18916500662-线下运营部 已同意 01/15 14:56;
已同意 | 线下堂食助理-婷婷 已同意 01/15 15:40;
已同意 | 单玮-13816935059-督导部 已同意 01/15 17:15;
已抄送 | 卢家豪 已抄送 01/15 17:15;
已抄送 | 抖音&amp;快手-周幂-17521714387 已抄送 01/15 17:15;
已同意 | 苏磊 已同意 01/15 17:15;
已抄送 | 翁嘉隆-线上运营总监-13611699917 已抄送 01/15 17:15;
已同意 | 陈宇航-线上助理-18350349892 三平台建店完成 已同意 01/19 17:11;
已抄送 | 谢芳 已抄送 01/19 17:11;
已抄送 | 黄琪艳 已抄送 01/19 17:11;
已抄送 | 王京海 已抄送 01/19 17:11</v>
      </c>
    </row>
    <row r="47" customHeight="1" spans="1:11">
      <c r="A47" s="11" t="s">
        <v>29</v>
      </c>
      <c r="B47" s="5">
        <v>2477</v>
      </c>
      <c r="C47" s="5" t="s">
        <v>32</v>
      </c>
      <c r="D47" s="5" t="s">
        <v>61</v>
      </c>
      <c r="E47" s="5" t="s">
        <v>88</v>
      </c>
      <c r="F47" s="6">
        <v>46028</v>
      </c>
      <c r="G47" s="7">
        <v>46028</v>
      </c>
      <c r="H47" s="5" t="s">
        <v>14</v>
      </c>
      <c r="I47" s="5" t="s">
        <v>15</v>
      </c>
    </row>
    <row r="48" customHeight="1" spans="1:11">
      <c r="A48" s="11" t="s">
        <v>29</v>
      </c>
      <c r="B48" s="5">
        <v>2428</v>
      </c>
      <c r="C48" s="5" t="s">
        <v>21</v>
      </c>
      <c r="D48" s="5" t="s">
        <v>30</v>
      </c>
      <c r="E48" s="5" t="s">
        <v>89</v>
      </c>
      <c r="F48" s="6">
        <v>46028</v>
      </c>
      <c r="G48" s="7">
        <v>46028</v>
      </c>
      <c r="H48" s="5" t="s">
        <v>14</v>
      </c>
      <c r="I48" s="5" t="s">
        <v>15</v>
      </c>
    </row>
    <row r="49" customHeight="1" spans="1:11">
      <c r="A49" s="10" t="s">
        <v>25</v>
      </c>
      <c r="B49" s="5">
        <v>2341</v>
      </c>
      <c r="C49" s="5" t="s">
        <v>36</v>
      </c>
      <c r="D49" s="5" t="s">
        <v>53</v>
      </c>
      <c r="E49" s="5" t="s">
        <v>90</v>
      </c>
      <c r="F49" s="6">
        <v>46028</v>
      </c>
      <c r="G49" s="7">
        <v>46028</v>
      </c>
      <c r="H49" s="5" t="s">
        <v>14</v>
      </c>
      <c r="I49" s="5" t="s">
        <v>15</v>
      </c>
    </row>
    <row r="50" customHeight="1" spans="1:11">
      <c r="A50" s="8" t="s">
        <v>16</v>
      </c>
      <c r="B50" s="5">
        <v>2318</v>
      </c>
      <c r="C50" s="5" t="s">
        <v>18</v>
      </c>
      <c r="D50" s="5" t="s">
        <v>18</v>
      </c>
      <c r="E50" s="5" t="s">
        <v>91</v>
      </c>
      <c r="F50" s="6">
        <v>46029</v>
      </c>
      <c r="G50" s="7">
        <v>46029</v>
      </c>
      <c r="H50" s="5" t="s">
        <v>14</v>
      </c>
      <c r="I50" s="5" t="s">
        <v>15</v>
      </c>
    </row>
    <row r="51" customHeight="1" spans="1:11">
      <c r="A51" s="14" t="s">
        <v>49</v>
      </c>
      <c r="B51" s="5">
        <v>2439</v>
      </c>
      <c r="C51" s="5" t="s">
        <v>17</v>
      </c>
      <c r="D51" s="5" t="s">
        <v>17</v>
      </c>
      <c r="E51" s="5" t="s">
        <v>92</v>
      </c>
      <c r="F51" s="6">
        <v>46029</v>
      </c>
      <c r="G51" s="7">
        <v>46029</v>
      </c>
      <c r="H51" s="5" t="s">
        <v>14</v>
      </c>
      <c r="I51" s="5" t="s">
        <v>15</v>
      </c>
      <c r="J51" t="s">
        <v>35</v>
      </c>
      <c r="K51" s="2" t="str">
        <f>VLOOKUP(B51,[1]线上建店审批明细!$A:$E,5,0)</f>
        <v>已抄送 | 线下堂食助理-婷婷 已抄送 01/09 14:27;
已抄送 | 蔡文佳-18916500662-线下运营部 已抄送 01/09 14:27;
已抄送 | 谢芳 已抄送 01/09 14:27;
已抄送 | 线上督导-鹿世鸣-督导部 已抄送 01/09 14:27;
已同意 | 贺龙娇 已同意 01/10 17:31;
已同意 | 杨文慧 已同意 01/10 17:45;
已同意 | 施工监理-范钟欣-13817733545 已同意 01/10 17:47;
已同意 | 王伟清 已同意 01/10 18:32;
已同意 | 刘崇宇-18616022203-督导部 已同意 01/10 20:59;
已同意 | 蔡文佳-18916500662-线下运营部 已同意 01/11 17:13;
已同意 | 线下堂食助理-婷婷 已同意 01/11 19:39;
已同意 | 单玮-13816935059-督导部 已同意 01/12 11:04;
已抄送 | 卢家豪 已抄送 01/12 11:04;
已抄送 | 抖音&amp;快手-周幂-17521714387 已抄送 01/12 11:04;
已同意 | 苏磊 已同意 01/12 11:05;
已抄送 | 翁嘉隆-线上运营总监-13611699917 已抄送 01/12 11:05;
已同意 | 陈宇航-线上助理-18350349892 三平台建店完成 已同意 01/17 17:14;
已抄送 | 谢芳 已抄送 01/17 17:14;
已抄送 | 黄琪艳 已抄送 01/17 17:14;
已抄送 | 王京海 已抄送 01/17 17:14</v>
      </c>
    </row>
    <row r="52" customHeight="1" spans="1:11">
      <c r="A52" s="13" t="s">
        <v>42</v>
      </c>
      <c r="B52" s="5">
        <v>2447</v>
      </c>
      <c r="C52" s="5" t="s">
        <v>50</v>
      </c>
      <c r="D52" s="5" t="s">
        <v>93</v>
      </c>
      <c r="E52" s="5" t="s">
        <v>94</v>
      </c>
      <c r="F52" s="6">
        <v>46029</v>
      </c>
      <c r="G52" s="7">
        <v>46029</v>
      </c>
      <c r="H52" s="5" t="s">
        <v>14</v>
      </c>
      <c r="I52" s="5" t="s">
        <v>15</v>
      </c>
      <c r="J52" t="s">
        <v>35</v>
      </c>
      <c r="K52" s="2" t="str">
        <f>VLOOKUP(B52,[1]线上建店审批明细!$A:$E,5,0)</f>
        <v>已抄送 | 线上督导服务号-如有异议请联系区域经理（此账号不做回复） 已抄送 01/13 10:14;
已抄送 | 线上督导-鹿世鸣-督导部 已抄送 01/13 10:14;
已同意 | 贺龙娇 已同意 01/14 14:13;
已同意 | 杨文慧 已同意 01/14 14:14;
已同意 | 施工监理-范钟欣-13817733545 已同意 01/14 17:14;
已同意 | 王伟清 已同意 01/14 17:51;
已同意 | 刘崇宇-18616022203-督导部 已同意 01/15 13:44;
已同意 | 蔡文佳-18916500662-线下运营部 已同意 01/15 15:02;
已同意 | 线下堂食助理-婷婷 已同意 01/15 15:39;
已同意 | 单玮-13816935059-督导部 已同意 01/15 17:45;
已抄送 | 卢家豪 已抄送 01/15 17:45;
已抄送 | 抖音&amp;快手-周幂-17521714387 已抄送 01/15 17:45;
已同意 | 苏磊 已同意 01/15 17:48;
已抄送 | 翁嘉隆-线上运营总监-13611699917 已抄送 01/15 17:48;
已同意 | 陈宇航-线上助理-18350349892 三平台建店完成 已同意 01/19 17:13;
已抄送 | 谢芳 已抄送 01/19 17:13;
已抄送 | 黄琪艳 已抄送 01/19 17:13;
已抄送 | 王京海 已抄送 01/19 17:13</v>
      </c>
    </row>
    <row r="53" customHeight="1" spans="1:11">
      <c r="A53" s="9" t="s">
        <v>20</v>
      </c>
      <c r="B53" s="5">
        <v>1357</v>
      </c>
      <c r="C53" s="5" t="s">
        <v>21</v>
      </c>
      <c r="D53" s="5" t="s">
        <v>22</v>
      </c>
      <c r="E53" s="5" t="s">
        <v>95</v>
      </c>
      <c r="F53" s="6">
        <v>46030</v>
      </c>
      <c r="G53" s="7">
        <v>46030</v>
      </c>
      <c r="H53" s="5" t="s">
        <v>14</v>
      </c>
      <c r="I53" s="5" t="s">
        <v>15</v>
      </c>
      <c r="J53" t="s">
        <v>35</v>
      </c>
      <c r="K53" s="2" t="str">
        <f>VLOOKUP(B53,[1]线上建店审批明细!$A:$E,5,0)</f>
        <v>已抄送 | 线上督导-鹿世鸣-督导部 已抄送 01/10 17:50;
已同意 | 诸静逸 已同意 01/12 13:28;
已同意 | 杨文慧 已同意 01/12 13:30;
已同意 | 施工监理-范钟欣-13817733545 已同意 01/12 15:50;
已同意 | 王伟清 已同意 01/12 16:09;
已同意 | 刘崇宇-18616022203-督导部 已同意 01/13 17:38;
已同意 | 蔡文佳-18916500662-线下运营部 已同意 01/13 21:15;
已同意 | 线下堂食助理-婷婷 已同意 01/14 10:25;
已同意 | 单玮-13816935059-督导部 已同意 01/14 12:34;
已抄送 | 卢家豪 已抄送 01/14 12:34;
已抄送 | 抖音&amp;快手-周幂-17521714387 已抄送 01/14 12:34;
已同意 | 苏磊 已同意 01/14 13:27;
已抄送 | 翁嘉隆-线上运营总监-13611699917 已抄送 01/14 13:27;
已同意 | 陈宇航-线上助理-18350349892 三平台建店完成 已同意 01/20 18:46;
已抄送 | 谢芳 已抄送 01/20 18:46;
已抄送 | 黄琪艳 已抄送 01/20 18:46;
已抄送 | 王京海 已抄送 01/20 18:46</v>
      </c>
    </row>
    <row r="54" customHeight="1" spans="1:11">
      <c r="A54" s="11" t="s">
        <v>29</v>
      </c>
      <c r="B54" s="5">
        <v>2448</v>
      </c>
      <c r="C54" s="5" t="s">
        <v>21</v>
      </c>
      <c r="D54" s="5" t="s">
        <v>47</v>
      </c>
      <c r="E54" s="5" t="s">
        <v>96</v>
      </c>
      <c r="F54" s="6">
        <v>46030</v>
      </c>
      <c r="G54" s="7">
        <v>46030</v>
      </c>
      <c r="H54" s="5" t="s">
        <v>14</v>
      </c>
      <c r="I54" s="5" t="s">
        <v>15</v>
      </c>
      <c r="J54" t="s">
        <v>35</v>
      </c>
      <c r="K54" s="2" t="str">
        <f>VLOOKUP(B54,[1]线上建店审批明细!$A:$E,5,0)</f>
        <v>已抄送 | 线上督导服务号-如有异议请联系区域经理（此账号不做回复） 已抄送 01/13 16:22;
已抄送 | 谢芳 已抄送 01/13 16:22;
已抄送 | 线上督导-鹿世鸣-督导部 已抄送 01/13 16:22;
已同意 | 贺龙娇 已同意 01/14 15:23;
已同意 | 杨文慧 已同意 01/14 15:23;
已同意 | 施工监理-范钟欣-13817733545 已同意 01/16 17:35;
已同意 | 王伟清 已同意 01/16 17:56;
已同意 | 刘崇宇-18616022203-督导部 已同意 01/19 15:40;
已同意 | 蔡文佳-18916500662-线下运营部 已同意 01/19 19:12;
已同意 | 线下堂食助理-婷婷 已同意 01/20 10:22;
已同意 | 单玮-13816935059-督导部 已同意 01/20 13:58;
已抄送 | 卢家豪 已抄送 01/20 13:58;
已抄送 | 抖音&amp;快手-周幂-17521714387 已抄送 01/20 13:58;
已同意 | 苏磊 已同意 01/20 14:03;
已抄送 | 翁嘉隆-线上运营总监-13611699917 已抄送 01/20 14:03;
已同意 | 陈宇航-线上助理-18350349892 三平台建店完成 已同意 01/23 17:35;
已抄送 | 谢芳 已抄送 01/23 17:35;
已抄送 | 黄琪艳 已抄送 01/23 17:35;
已抄送 | 王京海 已抄送 01/23 17:35</v>
      </c>
    </row>
    <row r="55" customHeight="1" spans="1:11">
      <c r="A55" s="4" t="s">
        <v>11</v>
      </c>
      <c r="B55" s="5">
        <v>2465</v>
      </c>
      <c r="C55" s="5" t="s">
        <v>97</v>
      </c>
      <c r="D55" s="5" t="s">
        <v>98</v>
      </c>
      <c r="E55" s="5" t="s">
        <v>99</v>
      </c>
      <c r="F55" s="6">
        <v>46030</v>
      </c>
      <c r="G55" s="7">
        <v>46030</v>
      </c>
      <c r="H55" s="5" t="s">
        <v>14</v>
      </c>
      <c r="I55" s="5" t="s">
        <v>15</v>
      </c>
      <c r="J55" t="s">
        <v>35</v>
      </c>
      <c r="K55" s="2" t="str">
        <f>VLOOKUP(B55,[1]线上建店审批明细!$A:$E,5,0)</f>
        <v>已抄送 | 线上督导-鹿世鸣-督导部 已抄送 01/11 11:21;
已同意 | 诸静逸 已同意 01/12 13:40;
已同意 | 杨文慧 已同意 01/12 13:51;
已同意 | 施工监理-范钟欣-13817733545 已同意 01/12 15:45;
已同意 | 王伟清 已同意 01/12 16:10;
已同意 | 刘崇宇-18616022203-督导部 已同意 01/12 17:40;
已同意 | 蔡文佳-18916500662-线下运营部 已同意 01/13 11:33;
已同意 | 线下堂食助理-婷婷 已同意 01/13 11:43;
已同意 | 单玮-13816935059-督导部 已同意 01/13 14:28;
已抄送 | 卢家豪 已抄送 01/13 14:28;
已抄送 | 抖音&amp;快手-周幂-17521714387 已抄送 01/13 14:28;
已同意 | 苏磊 已同意 01/13 14:30;
已抄送 | 翁嘉隆-线上运营总监-13611699917 已抄送 01/13 14:30;
已同意 | 陈宇航-线上助理-18350349892 三平台建店完成 已同意 01/17 17:15;
已抄送 | 谢芳 已抄送 01/17 17:15;
已抄送 | 黄琪艳 已抄送 01/17 17:15;
已抄送 | 王京海 已抄送 01/17 17:15</v>
      </c>
    </row>
    <row r="56" customHeight="1" spans="1:11">
      <c r="A56" s="13" t="s">
        <v>42</v>
      </c>
      <c r="B56" s="5">
        <v>1547</v>
      </c>
      <c r="C56" s="5" t="s">
        <v>50</v>
      </c>
      <c r="D56" s="5" t="s">
        <v>93</v>
      </c>
      <c r="E56" s="5" t="s">
        <v>100</v>
      </c>
      <c r="F56" s="6">
        <v>46030</v>
      </c>
      <c r="G56" s="7">
        <v>46030</v>
      </c>
      <c r="H56" s="5" t="s">
        <v>14</v>
      </c>
      <c r="I56" s="5" t="s">
        <v>15</v>
      </c>
      <c r="J56" t="s">
        <v>35</v>
      </c>
      <c r="K56" s="2" t="str">
        <f>VLOOKUP(B56,[1]线上建店审批明细!$A:$E,5,0)</f>
        <v>已抄送 | 线下堂食助理-婷婷 已抄送 01/09 14:34;
已抄送 | 蔡文佳-18916500662-线下运营部 已抄送 01/09 14:34;
已抄送 | 谢芳 已抄送 01/09 14:34;
已抄送 | 线上督导-鹿世鸣-督导部 已抄送 01/09 14:34;
已转审 | 贺龙娇 已转审 01/10 17:26;
已同意 | 诸静逸 已同意 01/12 11:24;
已同意 | 杨文慧 已同意 01/12 11:25;
已同意 | 施工监理-范钟欣-13817733545 已同意 01/12 15:44;
已同意 | 王伟清 已同意 01/12 16:08;
已同意 | 刘崇宇-18616022203-督导部 已同意 01/12 17:41;
已同意 | 蔡文佳-18916500662-线下运营部 已同意 01/13 11:29;
已同意 | 线下堂食助理-婷婷 已同意 01/13 11:41;
已同意 | 单玮-13816935059-督导部 已同意 01/13 16:55;
已抄送 | 卢家豪 已抄送 01/13 16:55;
已抄送 | 抖音&amp;快手-周幂-17521714387 已抄送 01/13 16:55;
已同意 | 苏磊 已同意 01/13 16:56;
已抄送 | 翁嘉隆-线上运营总监-13611699917 已抄送 01/13 16:56;
已同意 | 陈宇航-线上助理-18350349892 三平台建店完成 已同意 01/17 17:16;
已抄送 | 谢芳 已抄送 01/17 17:16;
已抄送 | 黄琪艳 已抄送 01/17 17:16;
已抄送 | 王京海 已抄送 01/17 17:16</v>
      </c>
    </row>
    <row r="57" customHeight="1" spans="1:11">
      <c r="A57" s="13" t="s">
        <v>42</v>
      </c>
      <c r="B57" s="5">
        <v>2469</v>
      </c>
      <c r="C57" s="5" t="s">
        <v>50</v>
      </c>
      <c r="D57" s="5" t="s">
        <v>93</v>
      </c>
      <c r="E57" s="5" t="s">
        <v>101</v>
      </c>
      <c r="F57" s="6">
        <v>46031</v>
      </c>
      <c r="G57" s="7">
        <v>46031</v>
      </c>
      <c r="H57" s="5" t="s">
        <v>14</v>
      </c>
      <c r="I57" s="5" t="s">
        <v>15</v>
      </c>
      <c r="J57" t="s">
        <v>35</v>
      </c>
      <c r="K57" s="2" t="str">
        <f>VLOOKUP(B57,[1]线上建店审批明细!$A:$E,5,0)</f>
        <v>已抄送 | 线上督导服务号-如有异议请联系区域经理（此账号不做回复） 已抄送 01/13 15:23;
已抄送 | 谢芳 已抄送 01/13 15:23;
已抄送 | 线上督导-鹿世鸣-督导部 已抄送 01/13 15:23;
已同意 | 贺龙娇 已同意 01/13 21:00;
已同意 | 谢珍珍 已同意 01/14 10:19;
已同意 | 施工监理-范钟欣-13817733545 已同意 01/14 17:10;
已同意 | 王伟清 已同意 01/14 17:51;
已同意 | 刘崇宇-18616022203-督导部 已同意 01/15 13:41;
已同意 | 蔡文佳-18916500662-线下运营部 已同意 01/15 15:06;
已同意 | 线下堂食助理-婷婷 已同意 01/15 15:37;
已同意 | 单玮-13816935059-督导部 已同意 01/15 18:37;
已抄送 | 卢家豪 已抄送 01/15 18:37;
已抄送 | 抖音&amp;快手-周幂-17521714387 已抄送 01/15 18:37;
已同意 | 苏磊 已同意 01/15 18:38;
已抄送 | 翁嘉隆-线上运营总监-13611699917 已抄送 01/15 18:38;
已同意 | 陈宇航-线上助理-18350349892 三平台建店完成 已同意 01/19 17:12;
已抄送 | 谢芳 已抄送 01/19 17:12;
已抄送 | 黄琪艳 已抄送 01/19 17:12;
已抄送 | 王京海 已抄送 01/19 17:12</v>
      </c>
    </row>
    <row r="58" customHeight="1" spans="1:11">
      <c r="A58" s="14" t="s">
        <v>49</v>
      </c>
      <c r="B58" s="5">
        <v>2399</v>
      </c>
      <c r="C58" s="5" t="s">
        <v>97</v>
      </c>
      <c r="D58" s="5" t="s">
        <v>102</v>
      </c>
      <c r="E58" s="5" t="s">
        <v>103</v>
      </c>
      <c r="F58" s="6">
        <v>46031</v>
      </c>
      <c r="G58" s="7">
        <v>46031</v>
      </c>
      <c r="H58" s="5" t="s">
        <v>14</v>
      </c>
      <c r="I58" s="5" t="s">
        <v>15</v>
      </c>
      <c r="J58" t="s">
        <v>35</v>
      </c>
      <c r="K58" s="2" t="str">
        <f>VLOOKUP(B58,[1]线上建店审批明细!$A:$E,5,0)</f>
        <v>已抄送 | 线上督导服务号-如有异议请联系区域经理（此账号不做回复） 已抄送 01/13 13:40;
已抄送 | 线上督导-鹿世鸣-督导部 已抄送 01/13 13:40;
已同意 | 贺龙娇 已同意 01/13 14:10;
已同意 | 杨文慧 已同意 01/13 14:18;
已同意 | 施工监理-范钟欣-13817733545 已同意 01/13 14:35;
已同意 | 王伟清 已同意 01/13 15:07;
已同意 | 刘崇宇-18616022203-督导部 已同意 01/15 13:47;
已同意 | 蔡文佳-18916500662-线下运营部 已同意 01/15 22:22;
已同意 | 线下堂食助理-婷婷 已同意 01/16 10:03;
已同意 | 单玮-13816935059-督导部 已同意 01/16 18:29;
已抄送 | 卢家豪 已抄送 01/16 18:29;
已抄送 | 抖音&amp;快手-周幂-17521714387 已抄送 01/16 18:29;
已同意 | 苏磊 已同意 01/16 18:30;
已抄送 | 翁嘉隆-线上运营总监-13611699917 已抄送 01/16 18:30;
已同意 | 陈宇航-线上助理-18350349892 三平台建店完成 已同意 01/22 10:19;
已抄送 | 谢芳 已抄送 01/22 10:19;
已抄送 | 黄琪艳 已抄送 01/22 10:19;
已抄送 | 王京海 已抄送 01/22 10:19</v>
      </c>
    </row>
    <row r="59" customHeight="1" spans="1:11">
      <c r="A59" s="10" t="s">
        <v>25</v>
      </c>
      <c r="B59" s="5">
        <v>2473</v>
      </c>
      <c r="C59" s="5" t="s">
        <v>26</v>
      </c>
      <c r="D59" s="5" t="s">
        <v>27</v>
      </c>
      <c r="E59" s="5" t="s">
        <v>104</v>
      </c>
      <c r="F59" s="6">
        <v>46032</v>
      </c>
      <c r="G59" s="7">
        <v>46032</v>
      </c>
      <c r="H59" s="5" t="s">
        <v>14</v>
      </c>
      <c r="I59" s="5" t="s">
        <v>15</v>
      </c>
      <c r="J59" t="s">
        <v>35</v>
      </c>
      <c r="K59" s="2" t="str">
        <f>VLOOKUP(B59,[1]线上建店审批明细!$A:$E,5,0)</f>
        <v>已抄送 | 线上督导服务号-如有异议请联系区域经理（此账号不做回复） 已抄送 01/12 13:45;
已抄送 | 线上督导-鹿世鸣-督导部 已抄送 01/12 13:45;
已同意 | 贺龙娇 已同意 01/12 16:20;
已同意 | 杨文慧 已同意 01/12 16:21;
已同意 | 施工监理-范钟欣-13817733545 已同意 01/12 16:39;
已同意 | 王伟清 已同意 01/12 18:25;
已同意 | 刘崇宇-18616022203-督导部 已同意 01/13 17:39;
已同意 | 蔡文佳-18916500662-线下运营部 已同意 01/13 21:17;
已同意 | 线下堂食助理-婷婷 已同意 01/14 10:26;
已同意 | 单玮-13816935059-督导部 已同意 01/14 11:48;
已抄送 | 卢家豪 已抄送 01/14 11:48;
已抄送 | 抖音&amp;快手-周幂-17521714387 已抄送 01/14 11:48;
已同意 | 苏磊 已同意 01/14 11:51;
已抄送 | 翁嘉隆-线上运营总监-13611699917 已抄送 01/14 11:51;
已同意 | 陈宇航-线上助理-18350349892 三平台建店完成 已同意 01/23 16:36;
已抄送 | 谢芳 已抄送 01/23 16:36;
已抄送 | 黄琪艳 已抄送 01/23 16:36;
已抄送 | 王京海 已抄送 01/23 16:36</v>
      </c>
    </row>
    <row r="60" customHeight="1" spans="1:11">
      <c r="A60" s="10" t="s">
        <v>25</v>
      </c>
      <c r="B60" s="5">
        <v>2458</v>
      </c>
      <c r="C60" s="5" t="s">
        <v>36</v>
      </c>
      <c r="D60" s="5" t="s">
        <v>27</v>
      </c>
      <c r="E60" s="5" t="s">
        <v>105</v>
      </c>
      <c r="F60" s="6">
        <v>46032</v>
      </c>
      <c r="G60" s="7">
        <v>46032</v>
      </c>
      <c r="H60" s="5" t="s">
        <v>14</v>
      </c>
      <c r="I60" s="5" t="s">
        <v>15</v>
      </c>
    </row>
    <row r="61" customHeight="1" spans="1:11">
      <c r="A61" s="14" t="s">
        <v>49</v>
      </c>
      <c r="B61" s="5">
        <v>2498</v>
      </c>
      <c r="C61" s="5" t="s">
        <v>50</v>
      </c>
      <c r="D61" s="5" t="s">
        <v>51</v>
      </c>
      <c r="E61" s="5" t="s">
        <v>106</v>
      </c>
      <c r="F61" s="6">
        <v>46032</v>
      </c>
      <c r="G61" s="7">
        <v>46032</v>
      </c>
      <c r="H61" s="5" t="s">
        <v>14</v>
      </c>
      <c r="I61" s="5" t="s">
        <v>15</v>
      </c>
      <c r="J61" t="s">
        <v>35</v>
      </c>
      <c r="K61" s="2" t="str">
        <f>VLOOKUP(B61,[1]线上建店审批明细!$A:$E,5,0)</f>
        <v>已抄送 | 线上督导服务号-如有异议请联系区域经理（此账号不做回复） 已抄送 01/21 14:44;
已抄送 | 谢芳 已抄送 01/21 14:44;
已抄送 | 线上督导-鹿世鸣-督导部 已抄送 01/21 14:44;
已同意 | 贺龙娇 已同意 01/22 14:00;
已同意 | 杨文慧 已同意 01/22 14:07;
已同意 | 施工监理-范钟欣-13817733545 已同意 01/22 14:14;
已同意 | 王伟清 已同意 01/22 14:36;
已同意 | 刘崇宇-18616022203-督导部 已同意 01/22 17:24;
已同意 | 蔡文佳-18916500662-线下运营部 已同意 01/22 22:03;
已同意 | 线下堂食助理-婷婷 已同意 01/23 09:57;
已同意 | 单玮-13816935059-督导部 已同意 01/23 16:38;
已抄送 | 卢家豪 已抄送 01/23 16:38;
已抄送 | 抖音&amp;快手-周幂-17521714387 已抄送 01/23 16:38;
已同意 | 苏磊 已同意 01/23 16:41;
已抄送 | 翁嘉隆-线上运营总监-13611699917 已抄送 01/23 16:41;
已同意 | 陈宇航-线上助理-18350349892 三平台建店完成 已同意 01/28 12:17;
已抄送 | 谢芳 已抄送 01/28 12:17;
已抄送 | 黄琪艳 已抄送 01/28 12:17;
已抄送 | 王京海 已抄送 01/28 12:17</v>
      </c>
    </row>
    <row r="62" customHeight="1" spans="1:11">
      <c r="A62" s="15" t="s">
        <v>16</v>
      </c>
      <c r="B62" s="5">
        <v>2493</v>
      </c>
      <c r="C62" s="5" t="s">
        <v>36</v>
      </c>
      <c r="D62" s="5" t="s">
        <v>27</v>
      </c>
      <c r="E62" s="5" t="s">
        <v>107</v>
      </c>
      <c r="F62" s="6">
        <v>46032</v>
      </c>
      <c r="G62" s="7">
        <v>46032</v>
      </c>
      <c r="H62" s="5" t="s">
        <v>14</v>
      </c>
      <c r="I62" s="5" t="s">
        <v>15</v>
      </c>
      <c r="J62" t="s">
        <v>35</v>
      </c>
      <c r="K62" s="2" t="str">
        <f>VLOOKUP(B62,[1]线上建店审批明细!$A:$E,5,0)</f>
        <v>已抄送 | 线上督导服务号-如有异议请联系区域经理（此账号不做回复） 已抄送 01/14 11:40;
已抄送 | 谢芳 已抄送 01/14 11:40;
已抄送 | 线上督导-鹿世鸣-督导部 已抄送 01/14 11:40;
已同意 | 贺龙娇 已同意 01/14 15:21;
已同意 | 杨文慧 已同意 01/14 15:23;
已同意 | 施工监理-范钟欣-13817733545 已同意 01/22 11:30;
已同意 | 王伟清 已同意 01/22 11:49;
已同意 | 刘崇宇-18616022203-督导部 已同意 01/22 17:26;
已同意 | 蔡文佳-18916500662-线下运营部 已同意 01/22 21:52;
已同意 | 线下堂食助理-婷婷 已同意 01/23 10:00;
已同意 | 单玮-13816935059-督导部 已同意 01/23 16:28;
已抄送 | 卢家豪 已抄送 01/23 16:28;
已抄送 | 抖音&amp;快手-周幂-17521714387 已抄送 01/23 16:28;
已同意 | 苏磊 已同意 01/23 16:28;
已抄送 | 翁嘉隆-线上运营总监-13611699917 已抄送 01/23 16:28;
已同意 | 陈宇航-线上助理-18350349892 三平台建店完成 已同意 01/28 12:16;
已抄送 | 谢芳 已抄送 01/28 12:16;
已抄送 | 黄琪艳 已抄送 01/28 12:16;
已抄送 | 王京海 已抄送 01/28 12:16</v>
      </c>
    </row>
    <row r="63" customHeight="1" spans="1:11">
      <c r="A63" s="14" t="s">
        <v>49</v>
      </c>
      <c r="B63" s="5">
        <v>2424</v>
      </c>
      <c r="C63" s="5" t="s">
        <v>50</v>
      </c>
      <c r="D63" s="5" t="s">
        <v>108</v>
      </c>
      <c r="E63" s="5" t="s">
        <v>109</v>
      </c>
      <c r="F63" s="6">
        <v>46032</v>
      </c>
      <c r="G63" s="7">
        <v>46032</v>
      </c>
      <c r="H63" s="5" t="s">
        <v>14</v>
      </c>
      <c r="I63" s="5"/>
      <c r="J63" t="s">
        <v>73</v>
      </c>
      <c r="K63" s="2" t="str">
        <f>VLOOKUP(B63,[1]线上建店审批明细!$A:$E,5,0)</f>
        <v>已抄送 | 线上督导服务号-如有异议请联系区域经理（此账号不做回复） 已抄送 01/21 11:01;
已抄送 | 谢芳 已抄送 01/21 11:01;
已抄送 | 线上督导-鹿世鸣-督导部 已抄送 01/21 11:01;
已同意 | 贺龙娇 已同意 02/04 15:48;
已同意 | 杨文慧 已同意 02/04 15:51;
已同意 | 施工监理-范钟欣-13817733545 已同意 02/04 15:53;
已同意 | 王伟清 已同意 02/04 16:13;
已同意 | 刘崇宇-18616022203-督导部 已同意 02/05 14:53</v>
      </c>
    </row>
    <row r="64" customHeight="1" spans="1:11">
      <c r="A64" s="14" t="s">
        <v>49</v>
      </c>
      <c r="B64" s="5">
        <v>2431</v>
      </c>
      <c r="C64" s="5" t="s">
        <v>50</v>
      </c>
      <c r="D64" s="5" t="s">
        <v>51</v>
      </c>
      <c r="E64" s="5" t="s">
        <v>110</v>
      </c>
      <c r="F64" s="6">
        <v>46032</v>
      </c>
      <c r="G64" s="7">
        <v>46032</v>
      </c>
      <c r="H64" s="5" t="s">
        <v>14</v>
      </c>
      <c r="I64" s="5" t="s">
        <v>15</v>
      </c>
      <c r="J64" t="s">
        <v>35</v>
      </c>
      <c r="K64" s="2" t="str">
        <f>VLOOKUP(B64,[1]线上建店审批明细!$A:$E,5,0)</f>
        <v>已抄送 | 线上督导服务号-如有异议请联系区域经理（此账号不做回复） 已抄送 01/15 14:13;
已抄送 | 谢芳 已抄送 01/15 14:13;
已抄送 | 线上督导-鹿世鸣-督导部 已抄送 01/15 14:13;
已同意 | 贺龙娇 已同意 01/15 16:38;
已同意 | 杨文慧 已同意 01/15 17:04;
已同意 | 施工监理-范钟欣-13817733545 已同意 01/16 10:56;
已同意 | 王伟清 已同意 01/16 11:05;
已同意 | 刘崇宇-18616022203-督导部 已同意 01/19 15:41;
已同意 | 蔡文佳-18916500662-线下运营部 已同意 01/19 19:17;
已同意 | 线下堂食助理-婷婷 已同意 01/20 10:21;
已同意 | 单玮-13816935059-督导部 已同意 01/20 13:58;
已抄送 | 卢家豪 已抄送 01/20 13:58;
已抄送 | 抖音&amp;快手-周幂-17521714387 已抄送 01/20 13:58;
已同意 | 苏磊 已同意 01/20 14:03;
已抄送 | 翁嘉隆-线上运营总监-13611699917 已抄送 01/20 14:03;
已同意 | 陈宇航-线上助理-18350349892 三平台建店完成 已同意 01/28 10:27;
已抄送 | 谢芳 已抄送 01/28 10:27;
已抄送 | 黄琪艳 已抄送 01/28 10:27;
已抄送 | 王京海 已抄送 01/28 10:27</v>
      </c>
    </row>
    <row r="65" customHeight="1" spans="1:11">
      <c r="A65" s="14" t="s">
        <v>49</v>
      </c>
      <c r="B65" s="5">
        <v>2464</v>
      </c>
      <c r="C65" s="5" t="s">
        <v>50</v>
      </c>
      <c r="D65" s="5" t="s">
        <v>51</v>
      </c>
      <c r="E65" s="5" t="s">
        <v>111</v>
      </c>
      <c r="F65" s="6">
        <v>46032</v>
      </c>
      <c r="G65" s="7">
        <v>46032</v>
      </c>
      <c r="H65" s="5" t="s">
        <v>14</v>
      </c>
      <c r="I65" s="5" t="s">
        <v>15</v>
      </c>
      <c r="J65" t="s">
        <v>35</v>
      </c>
      <c r="K65" s="2" t="str">
        <f>VLOOKUP(B65,[1]线上建店审批明细!$A:$E,5,0)</f>
        <v>已抄送 | 线上督导服务号-如有异议请联系区域经理（此账号不做回复） 已抄送 01/13 10:09;
已抄送 | 线上督导-鹿世鸣-督导部 已抄送 01/13 10:09;
已同意 | 贺龙娇 已同意 01/13 14:48;
已同意 | 杨文慧 已同意 01/13 14:50;
已同意 | 施工监理-范钟欣-13817733545 已同意 01/13 15:08;
已同意 | 王伟清 已同意 01/13 15:08;
已同意 | 刘崇宇-18616022203-督导部 已同意 01/13 17:40;
已同意 | 蔡文佳-18916500662-线下运营部 已同意 01/15 13:33;
已同意 | 线下堂食助理-婷婷 已同意 01/15 13:34;
已同意 | 单玮-13816935059-督导部 已同意 01/16 18:29;
已抄送 | 卢家豪 已抄送 01/16 18:29;
已抄送 | 抖音&amp;快手-周幂-17521714387 已抄送 01/16 18:29;
已同意 | 苏磊 已同意 01/16 18:30;
已抄送 | 翁嘉隆-线上运营总监-13611699917 已抄送 01/16 18:30;
已同意 | 陈宇航-线上助理-18350349892 三平台建店完成 已同意 01/22 10:19;
已抄送 | 谢芳 已抄送 01/22 10:19;
已抄送 | 黄琪艳 已抄送 01/22 10:19;
已抄送 | 王京海 已抄送 01/22 10:19</v>
      </c>
    </row>
    <row r="66" customHeight="1" spans="1:11">
      <c r="A66" s="14" t="s">
        <v>49</v>
      </c>
      <c r="B66" s="5">
        <v>2377</v>
      </c>
      <c r="C66" s="5" t="s">
        <v>50</v>
      </c>
      <c r="D66" s="5" t="s">
        <v>108</v>
      </c>
      <c r="E66" s="5" t="s">
        <v>112</v>
      </c>
      <c r="F66" s="6">
        <v>46032</v>
      </c>
      <c r="G66" s="7">
        <v>46032</v>
      </c>
      <c r="H66" s="5" t="s">
        <v>14</v>
      </c>
      <c r="I66" s="5" t="s">
        <v>15</v>
      </c>
      <c r="J66" t="s">
        <v>35</v>
      </c>
      <c r="K66" s="2" t="str">
        <f>VLOOKUP(B66,[1]线上建店审批明细!$A:$E,5,0)</f>
        <v>已抄送 | 线上督导服务号-如有异议请联系区域经理（此账号不做回复） 已抄送 01/12 11:18;
已抄送 | 线上督导-鹿世鸣-督导部 已抄送 01/12 11:18;
已同意 | 贺龙娇 已同意 01/12 16:22;
已同意 | 杨文慧 已同意 01/12 16:25;
已同意 | 施工监理-范钟欣-13817733545 已同意 01/12 16:42;
已同意 | 王伟清 已同意 01/12 18:25;
已同意 | 刘崇宇-18616022203-督导部 已同意 01/13 17:36;
已同意 | 蔡文佳-18916500662-线下运营部 已同意 01/13 21:11;
已同意 | 线下堂食助理-婷婷 已同意 01/14 10:24;
已同意 | 单玮-13816935059-督导部 已同意 01/14 14:07;
已抄送 | 卢家豪 已抄送 01/14 14:07;
已抄送 | 抖音&amp;快手-周幂-17521714387 已抄送 01/14 14:07;
已同意 | 苏磊 已同意 01/14 22:01;
已抄送 | 翁嘉隆-线上运营总监-13611699917 已抄送 01/14 22:01;
已同意 | 陈宇航-线上助理-18350349892 饿了么建店完成，老板要求其余平台年后再上 已同意 01/19 17:10;
已抄送 | 谢芳 已抄送 01/19 17:10;
已抄送 | 黄琪艳 已抄送 01/19 17:10;
已抄送 | 王京海 已抄送 01/19 17:10</v>
      </c>
    </row>
    <row r="67" customHeight="1" spans="1:11">
      <c r="A67" s="14" t="s">
        <v>49</v>
      </c>
      <c r="B67" s="10">
        <v>2241</v>
      </c>
      <c r="C67" s="5" t="s">
        <v>50</v>
      </c>
      <c r="D67" s="10" t="s">
        <v>51</v>
      </c>
      <c r="E67" s="10" t="s">
        <v>113</v>
      </c>
      <c r="F67" s="6">
        <v>46032</v>
      </c>
      <c r="G67" s="7">
        <v>46032</v>
      </c>
      <c r="H67" s="5" t="s">
        <v>14</v>
      </c>
      <c r="I67" s="5" t="s">
        <v>15</v>
      </c>
      <c r="J67" t="s">
        <v>35</v>
      </c>
      <c r="K67" s="2" t="str">
        <f>VLOOKUP(B67,[1]线上建店审批明细!$A:$E,5,0)</f>
        <v>已抄送 | 线上督导-鹿世鸣-督导部 已抄送 01/11 11:23;
已同意 | 贺龙娇 已同意 01/13 14:49;
已同意 | 杨文慧 已同意 01/13 14:50;
已同意 | 施工监理-范钟欣-13817733545 已同意 01/13 15:06;
已同意 | 王伟清 已同意 01/13 15:08;
已同意 | 刘崇宇-18616022203-督导部 已同意 01/13 17:36;
已同意 | 蔡文佳-18916500662-线下运营部 已同意 01/13 17:59;
已同意 | 线下堂食助理-婷婷 已同意 01/13 18:01;
已同意 | 单玮-13816935059-督导部 已同意 01/13 18:49;
已抄送 | 卢家豪 已抄送 01/13 18:49;
已抄送 | 抖音&amp;快手-周幂-17521714387 已抄送 01/13 18:49;
已同意 | 苏磊 已同意 01/13 18:49;
已抄送 | 翁嘉隆-线上运营总监-13611699917 已抄送 01/13 18:49;
已同意 | 陈宇航-线上助理-18350349892 三平台建店完成 已同意 01/17 17:17;
已抄送 | 谢芳 已抄送 01/17 17:17;
已抄送 | 黄琪艳 已抄送 01/17 17:17;
已抄送 | 王京海 已抄送 01/17 17:17</v>
      </c>
    </row>
    <row r="68" customHeight="1" spans="1:11">
      <c r="A68" s="9" t="s">
        <v>20</v>
      </c>
      <c r="B68" s="5">
        <v>2303</v>
      </c>
      <c r="C68" s="5" t="s">
        <v>21</v>
      </c>
      <c r="D68" s="5" t="s">
        <v>22</v>
      </c>
      <c r="E68" s="5" t="s">
        <v>114</v>
      </c>
      <c r="F68" s="6">
        <v>46032</v>
      </c>
      <c r="G68" s="7">
        <v>46032</v>
      </c>
      <c r="H68" s="5" t="s">
        <v>14</v>
      </c>
      <c r="I68" s="5" t="s">
        <v>15</v>
      </c>
      <c r="J68" t="s">
        <v>35</v>
      </c>
      <c r="K68" s="2" t="str">
        <f>VLOOKUP(B68,[1]线上建店审批明细!$A:$E,5,0)</f>
        <v>已抄送 | 线上督导-鹿世鸣-督导部 已抄送 01/11 11:18;
已同意 | 贺龙娇 已同意 01/16 12:18;
已同意 | 杨文慧 已同意 01/16 13:31;
已同意 | 施工监理-范钟欣-13817733545 已同意 01/16 14:32;
已同意 | 王伟清 已同意 01/16 14:41;
已同意 | 刘崇宇-18616022203-督导部 已同意 01/19 15:41;
已同意 | 蔡文佳-18916500662-线下运营部 已同意 01/19 19:15;
已同意 | 线下堂食助理-婷婷 已同意 01/20 10:22;
已同意 | 单玮-13816935059-督导部 已同意 01/20 11:24;
已抄送 | 卢家豪 已抄送 01/20 11:24;
已抄送 | 抖音&amp;快手-周幂-17521714387 已抄送 01/20 11:24;
已同意 | 苏磊 已同意 01/20 11:30;
已抄送 | 翁嘉隆-线上运营总监-13611699917 已抄送 01/20 11:30;
已同意 | 陈宇航-线上助理-18350349892 美团饿了么平台建店完成，京东资质被盗用已提交处理 已同意 01/23 17:34;
已抄送 | 谢芳 已抄送 01/23 17:34;
已抄送 | 黄琪艳 已抄送 01/23 17:34;
已抄送 | 王京海 已抄送 01/23 17:34</v>
      </c>
    </row>
    <row r="69" customHeight="1" spans="1:11">
      <c r="A69" s="10" t="s">
        <v>25</v>
      </c>
      <c r="B69" s="5">
        <v>2325</v>
      </c>
      <c r="C69" s="5" t="s">
        <v>36</v>
      </c>
      <c r="D69" s="5" t="s">
        <v>53</v>
      </c>
      <c r="E69" s="5" t="s">
        <v>115</v>
      </c>
      <c r="F69" s="6">
        <v>46034</v>
      </c>
      <c r="G69" s="7">
        <v>46034</v>
      </c>
      <c r="H69" s="5" t="s">
        <v>14</v>
      </c>
      <c r="I69" s="5" t="s">
        <v>15</v>
      </c>
      <c r="J69" t="s">
        <v>35</v>
      </c>
      <c r="K69" s="2" t="str">
        <f>VLOOKUP(B69,[1]线上建店审批明细!$A:$E,5,0)</f>
        <v>已抄送 | 线上督导服务号-如有异议请联系区域经理（此账号不做回复） 已抄送 01/12 15:10;
已抄送 | 线上督导-鹿世鸣-督导部 已抄送 01/12 15:10;
已同意 | 贺龙娇 已同意 01/12 16:12;
已同意 | 杨文慧 已同意 01/12 16:14;
已同意 | 施工监理-范钟欣-13817733545 已同意 01/14 17:06;
已同意 | 王伟清 已同意 01/14 17:50;
已同意 | 刘崇宇-18616022203-督导部 已同意 01/15 13:45;
已同意 | 蔡文佳-18916500662-线下运营部 已同意 01/15 14:54;
已同意 | 线下堂食助理-婷婷 已同意 01/15 15:41;
已同意 | 单玮-13816935059-督导部 已同意 01/17 18:29;
已抄送 | 卢家豪 已抄送 01/17 18:29;
已抄送 | 抖音&amp;快手-周幂-17521714387 已抄送 01/17 18:29;
已同意 | 苏磊 已同意 01/17 18:29;
已抄送 | 翁嘉隆-线上运营总监-13611699917 已抄送 01/17 18:29;
已同意 | 陈宇航-线上助理-18350349892 三平台建店完成 已同意 01/23 17:32;
已抄送 | 谢芳 已抄送 01/23 17:32;
已抄送 | 黄琪艳 已抄送 01/23 17:32;
已抄送 | 王京海 已抄送 01/23 17:32</v>
      </c>
    </row>
    <row r="70" customHeight="1" spans="1:11">
      <c r="A70" s="10" t="s">
        <v>25</v>
      </c>
      <c r="B70" s="5">
        <v>2443</v>
      </c>
      <c r="C70" s="5" t="s">
        <v>36</v>
      </c>
      <c r="D70" s="5" t="s">
        <v>27</v>
      </c>
      <c r="E70" s="5" t="s">
        <v>116</v>
      </c>
      <c r="F70" s="6">
        <v>46034</v>
      </c>
      <c r="G70" s="7">
        <v>46034</v>
      </c>
      <c r="H70" s="5" t="s">
        <v>14</v>
      </c>
      <c r="I70" s="5" t="s">
        <v>15</v>
      </c>
      <c r="J70" t="s">
        <v>35</v>
      </c>
      <c r="K70" s="2" t="str">
        <f>VLOOKUP(B70,[1]线上建店审批明细!$A:$E,5,0)</f>
        <v>已抄送 | 线上督导服务号-如有异议请联系区域经理（此账号不做回复） 已抄送 01/12 15:09;
已抄送 | 线上督导-鹿世鸣-督导部 已抄送 01/12 15:09;
已同意 | 贺龙娇 已同意 01/12 16:14;
已同意 | 杨文慧 已同意 01/12 16:15;
已同意 | 施工监理-范钟欣-13817733545 已同意 01/13 12:08;
已同意 | 王伟清 已同意 01/13 12:20;
已同意 | 刘崇宇-18616022203-督导部 已同意 01/13 17:41;
已同意 | 蔡文佳-18916500662-线下运营部 已同意 01/22 22:09;
已同意 | 线下堂食助理-婷婷 已同意 01/23 09:56;
已同意 | 单玮-13816935059-督导部 已同意 01/23 18:50;
已抄送 | 卢家豪 已抄送 01/23 18:50;
已抄送 | 抖音&amp;快手-周幂-17521714387 已抄送 01/23 18:50;
已同意 | 苏磊 已同意 01/23 18:50;
已抄送 | 翁嘉隆-线上运营总监-13611699917 已抄送 01/23 18:50;
已同意 | 陈宇航-线上助理-18350349892 三平台建店完成 已同意 01/28 12:18;
已抄送 | 谢芳 已抄送 01/28 12:18;
已抄送 | 黄琪艳 已抄送 01/28 12:18;
已抄送 | 王京海 已抄送 01/28 12:18</v>
      </c>
    </row>
    <row r="71" customHeight="1" spans="1:11">
      <c r="A71" s="10" t="s">
        <v>25</v>
      </c>
      <c r="B71" s="10">
        <v>1425</v>
      </c>
      <c r="C71" s="5" t="s">
        <v>36</v>
      </c>
      <c r="D71" s="10" t="s">
        <v>27</v>
      </c>
      <c r="E71" s="10" t="s">
        <v>117</v>
      </c>
      <c r="F71" s="17" t="s">
        <v>118</v>
      </c>
      <c r="G71" s="7">
        <v>46035</v>
      </c>
      <c r="H71" s="5" t="s">
        <v>14</v>
      </c>
      <c r="I71" s="5" t="s">
        <v>15</v>
      </c>
      <c r="J71" t="s">
        <v>73</v>
      </c>
      <c r="K71" s="2" t="str">
        <f>VLOOKUP(B71,[1]线上建店审批明细!$A:$E,5,0)</f>
        <v>已抄送 | 线上督导服务号-如有异议请联系区域经理（此账号不做回复） 已抄送 01/12 14:27;
已抄送 | 线上督导-鹿世鸣-督导部 已抄送 01/12 14:27;
已同意 | 贺龙娇 已同意 01/16 12:17;
已同意 | 杨文慧 已同意 01/16 13:31;
已同意 | 施工监理-范钟欣-13817733545 已同意 01/19 18:02;
已同意 | 王伟清 已同意 01/19 18:27;
已同意 | 刘崇宇-18616022203-督导部 已同意 01/20 15:34;
已同意 | 蔡文佳-18916500662-线下运营部 已同意 01/20 21:16;
已同意 | 线下堂食助理-婷婷 已同意 01/21 10:08;
已同意 | 单玮-13816935059-督导部 已同意 01/21 17:45;
已抄送 | 卢家豪 已抄送 01/21 17:45;
已抄送 | 抖音&amp;快手-周幂-17521714387 已抄送 01/21 17:45;
已同意 | 苏磊 已同意 01/21 18:17;
已抄送 | 翁嘉隆-线上运营总监-13611699917 已抄送 01/21 18:17</v>
      </c>
    </row>
    <row r="72" customHeight="1" spans="1:11">
      <c r="A72" s="12" t="s">
        <v>11</v>
      </c>
      <c r="B72" s="5">
        <v>2474</v>
      </c>
      <c r="C72" s="5" t="s">
        <v>50</v>
      </c>
      <c r="D72" s="5" t="s">
        <v>119</v>
      </c>
      <c r="E72" s="5" t="s">
        <v>120</v>
      </c>
      <c r="F72" s="17" t="s">
        <v>118</v>
      </c>
      <c r="G72" s="7">
        <v>46035</v>
      </c>
      <c r="H72" s="5" t="s">
        <v>14</v>
      </c>
      <c r="I72" s="5" t="s">
        <v>15</v>
      </c>
      <c r="J72" t="s">
        <v>35</v>
      </c>
      <c r="K72" s="2" t="str">
        <f>VLOOKUP(B72,[1]线上建店审批明细!$A:$E,5,0)</f>
        <v>已抄送 | 线上督导服务号-如有异议请联系区域经理（此账号不做回复） 已抄送 01/13 15:19;
已抄送 | 谢芳 已抄送 01/13 15:19;
已抄送 | 线上督导-鹿世鸣-督导部 已抄送 01/13 15:19;
已同意 | 贺龙娇 已同意 01/13 21:02;
已同意 | 谢珍珍 已同意 01/14 10:18;
已同意 | 施工监理-范钟欣-13817733545 已同意 01/14 17:08;
已同意 | 王伟清 已同意 01/14 17:51;
已同意 | 刘崇宇-18616022203-督导部 已同意 01/15 13:41;
已同意 | 蔡文佳-18916500662-线下运营部 已同意 01/15 15:10;
已同意 | 线下堂食助理-婷婷 已同意 01/15 15:36;
已同意 | 单玮-13816935059-督导部 已同意 01/15 17:15;
已抄送 | 卢家豪 已抄送 01/15 17:15;
已抄送 | 抖音&amp;快手-周幂-17521714387 已抄送 01/15 17:15;
已同意 | 苏磊 已同意 01/15 17:15;
已抄送 | 翁嘉隆-线上运营总监-13611699917 已抄送 01/15 17:15;
已同意 | 陈宇航-线上助理-18350349892 三平台建店完成 已同意 01/19 17:12;
已抄送 | 谢芳 已抄送 01/19 17:12;
已抄送 | 黄琪艳 已抄送 01/19 17:12;
已抄送 | 王京海 已抄送 01/19 17:12</v>
      </c>
    </row>
    <row r="73" customHeight="1" spans="1:11">
      <c r="A73" s="18" t="s">
        <v>121</v>
      </c>
      <c r="B73" s="5">
        <v>2437</v>
      </c>
      <c r="C73" s="5" t="s">
        <v>36</v>
      </c>
      <c r="D73" s="5" t="s">
        <v>53</v>
      </c>
      <c r="E73" s="5" t="s">
        <v>122</v>
      </c>
      <c r="F73" s="17" t="s">
        <v>118</v>
      </c>
      <c r="G73" s="7">
        <v>46036</v>
      </c>
      <c r="H73" s="5" t="s">
        <v>14</v>
      </c>
      <c r="I73" s="5" t="s">
        <v>15</v>
      </c>
      <c r="J73" t="s">
        <v>35</v>
      </c>
      <c r="K73" s="2" t="str">
        <f>VLOOKUP(B73,[1]线上建店审批明细!$A:$E,5,0)</f>
        <v>已抄送 | 线上督导服务号-如有异议请联系区域经理（此账号不做回复） 已抄送 01/13 16:21;
已抄送 | 谢芳 已抄送 01/13 16:21;
已抄送 | 线上督导-鹿世鸣-督导部 已抄送 01/13 16:21;
已同意 | 贺龙娇 已同意 01/14 15:24;
已同意 | 杨文慧 已同意 01/14 15:30;
已同意 | 施工监理-范钟欣-13817733545 已同意 01/15 09:30;
已同意 | 王伟清 已同意 01/15 09:38;
已同意 | 刘崇宇-18616022203-督导部 已同意 01/15 13:39;
已同意 | 蔡文佳-18916500662-线下运营部 已同意 01/15 15:12;
已同意 | 线下堂食助理-婷婷 已同意 01/15 15:35;
已同意 | 单玮-13816935059-督导部 已同意 01/15 17:16;
已抄送 | 卢家豪 已抄送 01/15 17:16;
已抄送 | 抖音&amp;快手-周幂-17521714387 已抄送 01/15 17:16;
已同意 | 苏磊 已同意 01/15 17:18;
已抄送 | 翁嘉隆-线上运营总监-13611699917 已抄送 01/15 17:18;
已同意 | 陈宇航-线上助理-18350349892 三平台建店完成 已同意 01/19 17:12;
已抄送 | 谢芳 已抄送 01/19 17:12;
已抄送 | 黄琪艳 已抄送 01/19 17:12;
已抄送 | 王京海 已抄送 01/19 17:12</v>
      </c>
    </row>
    <row r="74" customHeight="1" spans="1:11">
      <c r="A74" s="8" t="s">
        <v>16</v>
      </c>
      <c r="B74" s="5">
        <v>1135</v>
      </c>
      <c r="C74" s="5" t="s">
        <v>18</v>
      </c>
      <c r="D74" s="5" t="s">
        <v>18</v>
      </c>
      <c r="E74" s="5" t="s">
        <v>123</v>
      </c>
      <c r="F74" s="17" t="s">
        <v>124</v>
      </c>
      <c r="G74" s="7">
        <v>46036</v>
      </c>
      <c r="H74" s="5" t="s">
        <v>14</v>
      </c>
      <c r="I74" s="5" t="s">
        <v>15</v>
      </c>
      <c r="J74" t="s">
        <v>73</v>
      </c>
      <c r="K74" s="2" t="str">
        <f>VLOOKUP(B74,[1]线上建店审批明细!$A:$E,5,0)</f>
        <v>已抄送 | 线上督导服务号-如有异议请联系区域经理（此账号不做回复） 已抄送 01/14 11:43;
已抄送 | 谢芳 已抄送 01/14 11:43;
已抄送 | 线上督导-鹿世鸣-督导部 已抄送 01/14 11:43;
已同意 | 贺龙娇 已同意 01/14 15:20;
已同意 | 杨文慧 已同意 01/14 15:22;
已同意 | 施工监理-范钟欣-13817733545 已同意 01/14 17:30;
已同意 | 王伟清 已同意 01/14 17:50;
已同意 | 刘崇宇-18616022203-督导部 已同意 01/19 15:43;
已同意 | 蔡文佳-18916500662-线下运营部 已同意 01/19 19:23;
已同意 | 线下堂食助理-婷婷 已同意 01/20 10:21;
已同意 | 单玮-13816935059-督导部 已同意 01/20 10:34;
已抄送 | 卢家豪 已抄送 01/20 10:34;
已抄送 | 抖音&amp;快手-周幂-17521714387 已抄送 01/20 10:34;
已同意 | 苏磊 已同意 01/20 10:35;
已抄送 | 翁嘉隆-线上运营总监-13611699917 已抄送 01/20 10:35</v>
      </c>
    </row>
    <row r="75" customHeight="1" spans="1:11">
      <c r="A75" s="10" t="s">
        <v>25</v>
      </c>
      <c r="B75" s="5">
        <v>2103</v>
      </c>
      <c r="C75" s="5" t="s">
        <v>36</v>
      </c>
      <c r="D75" s="5" t="s">
        <v>27</v>
      </c>
      <c r="E75" s="19" t="s">
        <v>125</v>
      </c>
      <c r="F75" s="17" t="s">
        <v>126</v>
      </c>
      <c r="G75" s="7">
        <v>46037</v>
      </c>
      <c r="H75" s="5" t="s">
        <v>14</v>
      </c>
      <c r="I75" s="5" t="s">
        <v>15</v>
      </c>
      <c r="J75" t="s">
        <v>73</v>
      </c>
      <c r="K75" s="2" t="str">
        <f>VLOOKUP(B75,[1]线上建店审批明细!$A:$E,5,0)</f>
        <v>已抄送 | 线上督导服务号-如有异议请联系区域经理（此账号不做回复） 已抄送 01/23 10:56;
已抄送 | 谢芳 已抄送 01/23 10:56;
已抄送 | 线上督导-鹿世鸣-督导部 已抄送 01/23 10:56;
已同意 | 李婕 已同意 01/23 15:37;
已同意 | 杨文慧 已同意 01/23 15:37;
已同意 | 施工监理-范钟欣-13817733545 已同意 01/24 09:23;
已同意 | 王伟清 已同意 01/24 09:40;
已同意 | 刘崇宇-18616022203-督导部 已同意 01/26 11:45;
已同意 | 蔡文佳-18916500662-线下运营部 已同意 01/26 17:36;
已同意 | 线下堂食助理-婷婷 已同意 01/26 17:40;
已同意 | 单玮-13816935059-督导部 已同意 01/26 18:50;
已抄送 | 卢家豪 已抄送 01/26 18:50;
已抄送 | 抖音&amp;快手-周幂-17521714387 已抄送 01/26 18:50;
已同意 | 苏磊 已同意 01/27 09:42;
已抄送 | 翁嘉隆-线上运营总监-13611699917 已抄送 01/27 09:42</v>
      </c>
    </row>
    <row r="76" customHeight="1" spans="1:11">
      <c r="A76" s="9" t="s">
        <v>20</v>
      </c>
      <c r="B76" s="5">
        <v>2276</v>
      </c>
      <c r="C76" s="5" t="s">
        <v>21</v>
      </c>
      <c r="D76" s="5" t="s">
        <v>22</v>
      </c>
      <c r="E76" s="5" t="s">
        <v>127</v>
      </c>
      <c r="F76" s="17" t="s">
        <v>128</v>
      </c>
      <c r="G76" s="7">
        <v>46038</v>
      </c>
      <c r="H76" s="5" t="s">
        <v>14</v>
      </c>
      <c r="I76" s="5" t="s">
        <v>15</v>
      </c>
      <c r="J76" t="s">
        <v>35</v>
      </c>
      <c r="K76" s="2" t="str">
        <f>VLOOKUP(B76,[1]线上建店审批明细!$A:$E,5,0)</f>
        <v>已抄送 | 线上督导服务号-如有异议请联系区域经理（此账号不做回复） 已抄送 01/22 14:38;
已抄送 | 谢芳 已抄送 01/22 14:38;
已抄送 | 线上督导-鹿世鸣-督导部 已抄送 01/22 14:38;
已同意 | 李婕 已同意 01/22 14:40;
已同意 | 杨文慧 已同意 01/22 14:55;
已同意 | 施工监理-范钟欣-13817733545 已同意 01/22 14:59;
已同意 | 王伟清 已同意 01/22 15:00;
已同意 | 刘崇宇-18616022203-督导部 已同意 01/22 17:24;
已同意 | 蔡文佳-18916500662-线下运营部 已同意 01/22 22:08;
已同意 | 线下堂食助理-婷婷 已同意 01/23 09:56;
已同意 | 单玮-13816935059-督导部 已同意 01/23 16:39;
已抄送 | 卢家豪 已抄送 01/23 16:39;
已抄送 | 抖音&amp;快手-周幂-17521714387 已抄送 01/23 16:39;
已同意 | 苏磊 已同意 01/23 16:41;
已抄送 | 翁嘉隆-线上运营总监-13611699917 已抄送 01/23 16:41;
已同意 | 陈宇航-线上助理-18350349892 三平台建店完成 已同意 01/28 12:16;
已抄送 | 谢芳 已抄送 01/28 12:16;
已抄送 | 黄琪艳 已抄送 01/28 12:16;
已抄送 | 王京海 已抄送 01/28 12:16</v>
      </c>
    </row>
    <row r="77" customHeight="1" spans="1:11">
      <c r="A77" s="14" t="s">
        <v>49</v>
      </c>
      <c r="B77" s="5">
        <v>2363</v>
      </c>
      <c r="C77" s="5" t="s">
        <v>17</v>
      </c>
      <c r="D77" s="5" t="s">
        <v>17</v>
      </c>
      <c r="E77" s="5" t="s">
        <v>129</v>
      </c>
      <c r="F77" s="17" t="s">
        <v>124</v>
      </c>
      <c r="G77" s="7">
        <v>46038</v>
      </c>
      <c r="H77" s="5" t="s">
        <v>14</v>
      </c>
      <c r="I77" s="5" t="s">
        <v>15</v>
      </c>
      <c r="J77" t="s">
        <v>35</v>
      </c>
      <c r="K77" s="2" t="str">
        <f>VLOOKUP(B77,[1]线上建店审批明细!$A:$E,5,0)</f>
        <v>已抄送 | 线上督导服务号-如有异议请联系区域经理（此账号不做回复） 已抄送 01/19 10:08;
已抄送 | 谢芳 已抄送 01/19 10:08;
已抄送 | 线上督导-鹿世鸣-督导部 已抄送 01/19 10:08;
已同意 | 贺龙娇 已同意 01/19 14:18;
已同意 | 杨文慧 已同意 01/19 14:31;
已同意 | 施工监理-范钟欣-13817733545 已同意 01/19 17:33;
已同意 | 王伟清 已同意 01/19 17:41;
已同意 | 刘崇宇-18616022203-督导部 已同意 01/20 15:34;
已同意 | 蔡文佳-18916500662-线下运营部 已同意 01/20 21:18;
已同意 | 线下堂食助理-婷婷 已同意 01/21 10:11;
已同意 | 单玮-13816935059-督导部 已同意 01/21 14:05;
已抄送 | 卢家豪 已抄送 01/21 14:05;
已抄送 | 抖音&amp;快手-周幂-17521714387 已抄送 01/21 14:05;
已同意 | 苏磊 已同意 01/21 14:19;
已抄送 | 翁嘉隆-线上运营总监-13611699917 已抄送 01/21 14:19;
已同意 | 陈宇航-线上助理-18350349892 三平台建店完成 已同意 01/26 19:11;
已抄送 | 谢芳 已抄送 01/26 19:11;
已抄送 | 黄琪艳 已抄送 01/26 19:11;
已抄送 | 王京海 已抄送 01/26 19:11</v>
      </c>
    </row>
    <row r="78" customHeight="1" spans="1:11">
      <c r="A78" s="9" t="s">
        <v>20</v>
      </c>
      <c r="B78" s="5">
        <v>2449</v>
      </c>
      <c r="C78" s="5" t="s">
        <v>32</v>
      </c>
      <c r="D78" s="5" t="s">
        <v>39</v>
      </c>
      <c r="E78" s="5" t="s">
        <v>130</v>
      </c>
      <c r="F78" s="17" t="s">
        <v>128</v>
      </c>
      <c r="G78" s="7">
        <v>46038</v>
      </c>
      <c r="H78" s="5" t="s">
        <v>14</v>
      </c>
      <c r="I78" s="5" t="s">
        <v>15</v>
      </c>
      <c r="J78" t="s">
        <v>35</v>
      </c>
      <c r="K78" s="2" t="str">
        <f>VLOOKUP(B78,[1]线上建店审批明细!$A:$E,5,0)</f>
        <v>已抄送 | 线上督导服务号-如有异议请联系区域经理（此账号不做回复） 已抄送 01/16 17:44;
已抄送 | 谢芳 已抄送 01/16 17:44;
已抄送 | 线上督导-鹿世鸣-督导部 已抄送 01/16 17:44;
已同意 | 贺龙娇 已同意 01/19 14:59;
已同意 | 诸静逸 (已离职) 管理员交接 01/16 18:38;
已同意 | 杨文慧 已同意 01/19 15:00;
已同意 | 施工监理-范钟欣-13817733545 已同意 01/22 11:48;
已同意 | 王伟清 已同意 01/22 11:49;
已同意 | 刘崇宇-18616022203-督导部 已同意 01/22 17:26;
已同意 | 蔡文佳-18916500662-线下运营部 已同意 01/22 21:54;
已同意 | 线下堂食助理-婷婷 已同意 01/23 10:00;
已同意 | 单玮-13816935059-督导部 已同意 01/23 16:32;
已抄送 | 卢家豪 已抄送 01/23 16:32;
已抄送 | 抖音&amp;快手-周幂-17521714387 已抄送 01/23 16:32;
已同意 | 苏磊 已同意 01/23 16:35;
已抄送 | 翁嘉隆-线上运营总监-13611699917 已抄送 01/23 16:35;
已同意 | 陈宇航-线上助理-18350349892 三平台建店完成 已同意 01/28 12:16;
已抄送 | 谢芳 已抄送 01/28 12:16;
已抄送 | 黄琪艳 已抄送 01/28 12:16;
已抄送 | 王京海 已抄送 01/28 12:16</v>
      </c>
    </row>
    <row r="79" customHeight="1" spans="1:11">
      <c r="A79" s="13" t="s">
        <v>42</v>
      </c>
      <c r="B79" s="5">
        <v>2484</v>
      </c>
      <c r="C79" s="5" t="s">
        <v>50</v>
      </c>
      <c r="D79" s="5" t="s">
        <v>93</v>
      </c>
      <c r="E79" s="5" t="s">
        <v>131</v>
      </c>
      <c r="F79" s="17" t="s">
        <v>126</v>
      </c>
      <c r="G79" s="7">
        <v>46038</v>
      </c>
      <c r="H79" s="5" t="s">
        <v>14</v>
      </c>
      <c r="I79" s="5" t="s">
        <v>15</v>
      </c>
      <c r="J79" t="s">
        <v>35</v>
      </c>
      <c r="K79" s="2" t="str">
        <f>VLOOKUP(B79,[1]线上建店审批明细!$A:$E,5,0)</f>
        <v>已抄送 | 线上督导服务号-如有异议请联系区域经理（此账号不做回复） 已抄送 01/22 11:18;
已抄送 | 谢芳 已抄送 01/22 11:18;
已抄送 | 线上督导-鹿世鸣-督导部 已抄送 01/22 11:18;
已同意 | 李婕 已同意 01/22 12:05;
已同意 | 杨文慧 已同意 01/22 12:06;
已同意 | 施工监理-范钟欣-13817733545 已同意 01/22 12:16;
已同意 | 王伟清 已同意 01/22 12:16;
已同意 | 刘崇宇-18616022203-督导部 已同意 01/22 17:25;
已同意 | 蔡文佳-18916500662-线下运营部 已同意 01/22 21:57;
已同意 | 线下堂食助理-婷婷 已同意 01/23 09:58;
已同意 | 单玮-13816935059-督导部 已同意 01/23 16:36;
已抄送 | 卢家豪 已抄送 01/23 16:36;
已抄送 | 抖音&amp;快手-周幂-17521714387 已抄送 01/23 16:36;
已同意 | 苏磊 已同意 01/23 16:36;
已抄送 | 翁嘉隆-线上运营总监-13611699917 已抄送 01/23 16:36;
已同意 | 陈宇航-线上助理-18350349892 三平台建店完成 已同意 01/28 12:16;
已抄送 | 谢芳 已抄送 01/28 12:16;
已抄送 | 黄琪艳 已抄送 01/28 12:16;
已抄送 | 王京海 已抄送 01/28 12:16</v>
      </c>
    </row>
    <row r="80" customHeight="1" spans="1:11">
      <c r="A80" s="9" t="s">
        <v>20</v>
      </c>
      <c r="B80" s="5">
        <v>2430</v>
      </c>
      <c r="C80" s="5" t="s">
        <v>21</v>
      </c>
      <c r="D80" s="5" t="s">
        <v>22</v>
      </c>
      <c r="E80" s="5" t="s">
        <v>132</v>
      </c>
      <c r="F80" s="17" t="s">
        <v>126</v>
      </c>
      <c r="G80" s="7">
        <v>46038</v>
      </c>
      <c r="H80" s="5" t="s">
        <v>14</v>
      </c>
      <c r="I80" s="5" t="s">
        <v>15</v>
      </c>
      <c r="J80" t="s">
        <v>35</v>
      </c>
      <c r="K80" s="2" t="str">
        <f>VLOOKUP(B80,[1]线上建店审批明细!$A:$E,5,0)</f>
        <v>已抄送 | 线上督导服务号-如有异议请联系区域经理（此账号不做回复） 已抄送 01/19 10:43;
已抄送 | 谢芳 已抄送 01/19 10:43;
已抄送 | 线上督导-鹿世鸣-督导部 已抄送 01/19 10:43;
已同意 | 贺龙娇 已同意 01/19 13:58;
已同意 | 杨文慧 已同意 01/19 14:03;
已同意 | 施工监理-范钟欣-13817733545 已同意 01/19 17:34;
已同意 | 王伟清 已同意 01/19 17:40;
已同意 | 刘崇宇-18616022203-督导部 已同意 01/20 15:35;
已同意 | 蔡文佳-18916500662-线下运营部 已同意 01/20 21:21;
已同意 | 线下堂食助理-婷婷 已同意 01/21 10:10;
已同意 | 单玮-13816935059-督导部 已同意 01/21 14:05;
已抄送 | 卢家豪 已抄送 01/21 14:05;
已抄送 | 抖音&amp;快手-周幂-17521714387 已抄送 01/21 14:05;
已同意 | 苏磊 已同意 01/21 14:19;
已抄送 | 翁嘉隆-线上运营总监-13611699917 已抄送 01/21 14:19;
已同意 | 陈宇航-线上助理-18350349892 三平台建店完成 已同意 01/26 19:11;
已抄送 | 谢芳 已抄送 01/26 19:11;
已抄送 | 黄琪艳 已抄送 01/26 19:11;
已抄送 | 王京海 已抄送 01/26 19:11</v>
      </c>
    </row>
    <row r="81" customHeight="1" spans="1:11">
      <c r="A81" s="9" t="s">
        <v>20</v>
      </c>
      <c r="B81" s="5">
        <v>2416</v>
      </c>
      <c r="C81" s="5" t="s">
        <v>21</v>
      </c>
      <c r="D81" s="5" t="s">
        <v>22</v>
      </c>
      <c r="E81" s="5" t="s">
        <v>133</v>
      </c>
      <c r="F81" s="17" t="s">
        <v>128</v>
      </c>
      <c r="G81" s="7">
        <v>46038</v>
      </c>
      <c r="H81" s="5" t="s">
        <v>14</v>
      </c>
      <c r="I81" s="16" t="s">
        <v>15</v>
      </c>
      <c r="J81" t="s">
        <v>35</v>
      </c>
      <c r="K81" s="2" t="str">
        <f>VLOOKUP(B81,[1]线上建店审批明细!$A:$E,5,0)</f>
        <v>已抄送 | 线上督导服务号-如有异议请联系区域经理（此账号不做回复） 已抄送 01/22 11:18;
已抄送 | 谢芳 已抄送 01/22 11:18;
已抄送 | 线上督导-鹿世鸣-督导部 已抄送 01/22 11:18;
已同意 | 李婕 已同意 01/22 12:06;
已同意 | 杨文慧 已同意 01/22 12:06;
已同意 | 施工监理-范钟欣-13817733545 已同意 01/22 12:15;
已同意 | 王伟清 已同意 01/22 12:16;
已同意 | 刘崇宇-18616022203-督导部 已同意 01/22 17:26;
已同意 | 蔡文佳-18916500662-线下运营部 已同意 01/22 21:55;
已同意 | 线下堂食助理-婷婷 已同意 01/23 09:59;
已同意 | 单玮-13816935059-督导部 已同意 01/23 16:34;
已抄送 | 卢家豪 已抄送 01/23 16:34;
已抄送 | 抖音&amp;快手-周幂-17521714387 已抄送 01/23 16:34;
已同意 | 苏磊 已同意 01/23 16:35;
已抄送 | 翁嘉隆-线上运营总监-13611699917 已抄送 01/23 16:35;
已同意 | 陈宇航-线上助理-18350349892 三平台建店完成 已同意 01/28 12:16;
已抄送 | 谢芳 已抄送 01/28 12:16;
已抄送 | 黄琪艳 已抄送 01/28 12:16;
已抄送 | 王京海 已抄送 01/28 12:16</v>
      </c>
    </row>
    <row r="82" customHeight="1" spans="1:11">
      <c r="A82" s="13" t="s">
        <v>42</v>
      </c>
      <c r="B82" s="5">
        <v>2422</v>
      </c>
      <c r="C82" s="5" t="s">
        <v>50</v>
      </c>
      <c r="D82" s="5" t="s">
        <v>93</v>
      </c>
      <c r="E82" s="5" t="s">
        <v>134</v>
      </c>
      <c r="F82" s="17" t="s">
        <v>135</v>
      </c>
      <c r="G82" s="7">
        <v>46038</v>
      </c>
      <c r="H82" s="5" t="s">
        <v>14</v>
      </c>
      <c r="I82" s="5" t="s">
        <v>15</v>
      </c>
      <c r="J82" t="s">
        <v>35</v>
      </c>
      <c r="K82" s="2" t="str">
        <f>VLOOKUP(B82,[1]线上建店审批明细!$A:$E,5,0)</f>
        <v>已抄送 | 线上督导服务号-如有异议请联系区域经理（此账号不做回复） 已抄送 01/13 17:53;
已抄送 | 谢芳 已抄送 01/13 17:53;
已抄送 | 线上督导-鹿世鸣-督导部 已抄送 01/13 17:53;
已同意 | 贺龙娇 已同意 01/13 20:54;
已同意 | 谢珍珍 已同意 01/14 10:21;
已同意 | 施工监理-范钟欣-13817733545 已同意 01/16 17:53;
已同意 | 王伟清 已同意 01/16 17:56;
已同意 | 刘崇宇-18616022203-督导部 已同意 01/19 15:40;
已同意 | 蔡文佳-18916500662-线下运营部 已同意 01/19 19:07;
已同意 | 线下堂食助理-婷婷 已同意 01/20 10:23;
已同意 | 单玮-13816935059-督导部 已同意 01/20 19:44;
已抄送 | 卢家豪 已抄送 01/20 19:44;
已抄送 | 抖音&amp;快手-周幂-17521714387 已抄送 01/20 19:44;
已同意 | 苏磊 已同意 01/20 19:55;
已抄送 | 翁嘉隆-线上运营总监-13611699917 已抄送 01/20 19:55;
已同意 | 陈宇航-线上助理-18350349892 三平台建店完成 已同意 01/23 17:35;
已抄送 | 谢芳 已抄送 01/23 17:35;
已抄送 | 黄琪艳 已抄送 01/23 17:35;
已抄送 | 王京海 已抄送 01/23 17:35</v>
      </c>
    </row>
    <row r="83" customHeight="1" spans="1:11">
      <c r="A83" s="13" t="s">
        <v>42</v>
      </c>
      <c r="B83" s="5">
        <v>2502</v>
      </c>
      <c r="C83" s="5" t="s">
        <v>97</v>
      </c>
      <c r="D83" s="5" t="s">
        <v>136</v>
      </c>
      <c r="E83" s="5" t="s">
        <v>137</v>
      </c>
      <c r="F83" s="17" t="s">
        <v>126</v>
      </c>
      <c r="G83" s="7">
        <v>46038</v>
      </c>
      <c r="H83" s="5" t="s">
        <v>14</v>
      </c>
      <c r="I83" s="5" t="s">
        <v>15</v>
      </c>
      <c r="J83" t="s">
        <v>35</v>
      </c>
      <c r="K83" s="2" t="str">
        <f>VLOOKUP(B83,[1]线上建店审批明细!$A:$E,5,0)</f>
        <v>已抄送 | 线上督导服务号-如有异议请联系区域经理（此账号不做回复） 已抄送 01/13 16:22;
已抄送 | 谢芳 已抄送 01/13 16:22;
已抄送 | 线上督导-鹿世鸣-督导部 已抄送 01/13 16:22;
已同意 | 贺龙娇 已同意 01/13 16:42;
已同意 | 杨文慧 已同意 01/13 16:43;
已同意 | 施工监理-范钟欣-13817733545 已同意 01/13 17:46;
已同意 | 王伟清 已同意 01/13 17:46;
已同意 | 刘崇宇-18616022203-督导部 已同意 01/15 13:46;
已同意 | 蔡文佳-18916500662-线下运营部 已同意 01/15 14:44;
已同意 | 线下堂食助理-婷婷 已同意 01/15 15:41;
已同意 | 单玮-13816935059-督导部 已同意 01/16 18:29;
已抄送 | 卢家豪 已抄送 01/16 18:29;
已抄送 | 抖音&amp;快手-周幂-17521714387 已抄送 01/16 18:29;
已同意 | 苏磊 已同意 01/16 18:30;
已抄送 | 翁嘉隆-线上运营总监-13611699917 已抄送 01/16 18:30;
已同意 | 陈宇航-线上助理-18350349892 三平台建店完成 已同意 01/22 10:19;
已抄送 | 谢芳 已抄送 01/22 10:19;
已抄送 | 黄琪艳 已抄送 01/22 10:19;
已抄送 | 王京海 已抄送 01/22 10:19</v>
      </c>
    </row>
    <row r="84" customHeight="1" spans="1:11">
      <c r="A84" s="4" t="s">
        <v>11</v>
      </c>
      <c r="B84" s="5">
        <v>2427</v>
      </c>
      <c r="C84" s="5" t="s">
        <v>97</v>
      </c>
      <c r="D84" s="5" t="s">
        <v>98</v>
      </c>
      <c r="E84" s="5" t="s">
        <v>138</v>
      </c>
      <c r="F84" s="17" t="s">
        <v>139</v>
      </c>
      <c r="G84" s="7">
        <v>46038</v>
      </c>
      <c r="H84" s="5" t="s">
        <v>14</v>
      </c>
      <c r="I84" s="5" t="s">
        <v>15</v>
      </c>
      <c r="J84" t="s">
        <v>35</v>
      </c>
      <c r="K84" s="2" t="str">
        <f>VLOOKUP(B84,[1]线上建店审批明细!$A:$E,5,0)</f>
        <v>已抄送 | 线上督导服务号-如有异议请联系区域经理（此账号不做回复） 已抄送 01/19 14:41;
已抄送 | 谢芳 已抄送 01/19 14:41;
已抄送 | 线上督导-鹿世鸣-督导部 已抄送 01/19 14:41;
已同意 | 贺龙娇 已同意 01/19 15:01;
已同意 | 杨文慧 已同意 01/19 15:29;
已同意 | 施工监理-范钟欣-13817733545 已同意 01/20 15:46;
已同意 | 王伟清 已同意 01/20 15:53;
已同意 | 刘崇宇-18616022203-督导部 已同意 01/20 16:16;
已同意 | 蔡文佳-18916500662-线下运营部 已同意 01/20 21:26;
已同意 | 线下堂食助理-婷婷 已同意 01/21 10:09;
已同意 | 单玮-13816935059-督导部 已同意 01/21 16:55;
已抄送 | 卢家豪 已抄送 01/21 16:55;
已抄送 | 抖音&amp;快手-周幂-17521714387 已抄送 01/21 16:55;
已同意 | 苏磊 已同意 01/21 16:56;
已抄送 | 翁嘉隆-线上运营总监-13611699917 已抄送 01/21 16:56;
已同意 | 陈宇航-线上助理-18350349892 三平台建店完成 已同意 01/26 19:11;
已抄送 | 谢芳 已抄送 01/26 19:11;
已抄送 | 黄琪艳 已抄送 01/26 19:11;
已抄送 | 王京海 已抄送 01/26 19:11</v>
      </c>
    </row>
    <row r="85" customHeight="1" spans="1:11">
      <c r="A85" s="9" t="s">
        <v>20</v>
      </c>
      <c r="B85" s="5">
        <v>2503</v>
      </c>
      <c r="C85" s="5" t="s">
        <v>32</v>
      </c>
      <c r="D85" s="5" t="s">
        <v>39</v>
      </c>
      <c r="E85" s="5" t="s">
        <v>140</v>
      </c>
      <c r="F85" s="17" t="s">
        <v>126</v>
      </c>
      <c r="G85" s="7">
        <v>46039</v>
      </c>
      <c r="H85" s="5" t="s">
        <v>14</v>
      </c>
      <c r="I85" s="5" t="s">
        <v>15</v>
      </c>
      <c r="J85" t="s">
        <v>73</v>
      </c>
      <c r="K85" s="2" t="str">
        <f>VLOOKUP(B85,[1]线上建店审批明细!$A:$E,5,0)</f>
        <v>已抄送 | 线上督导服务号-如有异议请联系区域经理（此账号不做回复） 已抄送 01/19 12:28;
已抄送 | 谢芳 已抄送 01/19 12:28;
已抄送 | 线上督导-鹿世鸣-督导部 已抄送 01/19 12:28;
已同意 | 贺龙娇 已同意 01/19 13:39;
已同意 | 杨文慧 已同意 01/19 13:40;
已同意 | 施工监理-范钟欣-13817733545 已同意 01/30 16:20;
已同意 | 王伟清 已同意 01/30 16:44;
已同意 | 刘崇宇-18616022203-督导部 已同意 02/02 12:33;
已同意 | 蔡文佳-18916500662-线下运营部 已同意 02/02 15:42;
已同意 | 线下堂食助理-婷婷 已同意 02/02 15:56;
已同意 | 单玮-13816935059-督导部 已同意 02/03 09:44;
已抄送 | 卢家豪 已抄送 02/03 09:44;
已抄送 | 抖音&amp;快手-周幂-17521714387 已抄送 02/03 09:44;
已同意 | 苏磊 已同意 02/03 09:50;
已抄送 | 翁嘉隆-线上运营总监-13611699917 已抄送 02/03 09:50</v>
      </c>
    </row>
    <row r="86" customHeight="1" spans="1:11">
      <c r="A86" s="10" t="s">
        <v>25</v>
      </c>
      <c r="B86" s="5">
        <v>2495</v>
      </c>
      <c r="C86" s="5" t="s">
        <v>36</v>
      </c>
      <c r="D86" s="5" t="s">
        <v>27</v>
      </c>
      <c r="E86" s="5" t="s">
        <v>141</v>
      </c>
      <c r="F86" s="17" t="s">
        <v>126</v>
      </c>
      <c r="G86" s="7">
        <v>46039</v>
      </c>
      <c r="H86" s="5" t="s">
        <v>14</v>
      </c>
      <c r="I86" s="5" t="s">
        <v>15</v>
      </c>
      <c r="J86" t="s">
        <v>35</v>
      </c>
      <c r="K86" s="2" t="str">
        <f>VLOOKUP(B86,[1]线上建店审批明细!$A:$E,5,0)</f>
        <v>已抄送 | 线上督导服务号-如有异议请联系区域经理（此账号不做回复） 已抄送 01/19 11:25;
已抄送 | 谢芳 已抄送 01/19 11:25;
已抄送 | 线上督导-鹿世鸣-督导部 已抄送 01/19 11:25;
已同意 | 贺龙娇 已同意 01/19 13:42;
已同意 | 杨文慧 已同意 01/19 13:52;
已同意 | 施工监理-范钟欣-13817733545 已同意 01/22 14:40;
已同意 | 王伟清 已同意 01/22 14:54;
已同意 | 刘崇宇-18616022203-督导部 已同意 01/22 17:24;
已同意 | 蔡文佳-18916500662-线下运营部 已同意 01/22 22:05;
已同意 | 线下堂食助理-婷婷 已同意 01/23 09:57;
已同意 | 单玮-13816935059-督导部 已同意 01/23 17:50;
已抄送 | 卢家豪 已抄送 01/23 17:50;
已抄送 | 抖音&amp;快手-周幂-17521714387 已抄送 01/23 17:50;
已同意 | 苏磊 已同意 01/23 17:50;
已抄送 | 翁嘉隆-线上运营总监-13611699917 已抄送 01/23 17:50;
已同意 | 陈宇航-线上助理-18350349892 三平台建店完成 已同意 01/28 12:18;
已抄送 | 谢芳 已抄送 01/28 12:18;
已抄送 | 黄琪艳 已抄送 01/28 12:18;
已抄送 | 王京海 已抄送 01/28 12:18</v>
      </c>
    </row>
    <row r="87" customHeight="1" spans="1:11">
      <c r="A87" s="14" t="s">
        <v>49</v>
      </c>
      <c r="B87" s="5">
        <v>2506</v>
      </c>
      <c r="C87" s="5" t="s">
        <v>50</v>
      </c>
      <c r="D87" s="5" t="s">
        <v>51</v>
      </c>
      <c r="E87" s="5" t="s">
        <v>142</v>
      </c>
      <c r="F87" s="17" t="s">
        <v>135</v>
      </c>
      <c r="G87" s="7">
        <v>46039</v>
      </c>
      <c r="H87" s="5" t="s">
        <v>14</v>
      </c>
      <c r="I87" s="5" t="s">
        <v>15</v>
      </c>
      <c r="J87" t="s">
        <v>35</v>
      </c>
      <c r="K87" s="2" t="str">
        <f>VLOOKUP(B87,[1]线上建店审批明细!$A:$E,5,0)</f>
        <v>已抄送 | 线上督导服务号-如有异议请联系区域经理（此账号不做回复） 已抄送 01/19 10:10;
已抄送 | 谢芳 已抄送 01/19 10:10;
已抄送 | 线上督导-鹿世鸣-督导部 已抄送 01/19 10:10;
已同意 | 贺龙娇 已同意 01/19 14:16;
已同意 | 杨文慧 已同意 01/19 14:17;
已同意 | 施工监理-范钟欣-13817733545 已同意 01/22 13:42;
已同意 | 王伟清 已同意 01/22 13:43;
已同意 | 刘崇宇-18616022203-督导部 已同意 01/22 17:25;
已同意 | 蔡文佳-18916500662-线下运营部 已同意 01/23 19:15;
已同意 | 线下堂食助理-婷婷 已同意 01/25 10:11;
已同意 | 单玮-13816935059-督导部 已同意 01/25 14:15;
已抄送 | 卢家豪 已抄送 01/25 14:15;
已抄送 | 抖音&amp;快手-周幂-17521714387 已抄送 01/25 14:15;
已同意 | 苏磊 已同意 01/25 14:16;
已抄送 | 翁嘉隆-线上运营总监-13611699917 已抄送 01/25 14:16;
已同意 | 陈宇航-线上助理-18350349892 三平台建店完成 已同意 01/28 12:17;
已抄送 | 谢芳 已抄送 01/28 12:17;
已抄送 | 黄琪艳 已抄送 01/28 12:17;
已抄送 | 王京海 已抄送 01/28 12:17</v>
      </c>
    </row>
    <row r="88" customHeight="1" spans="1:11">
      <c r="A88" s="14" t="s">
        <v>49</v>
      </c>
      <c r="B88" s="5">
        <v>2173</v>
      </c>
      <c r="C88" s="5" t="s">
        <v>50</v>
      </c>
      <c r="D88" s="5" t="s">
        <v>51</v>
      </c>
      <c r="E88" s="5" t="s">
        <v>143</v>
      </c>
      <c r="F88" s="17" t="s">
        <v>135</v>
      </c>
      <c r="G88" s="7">
        <v>46039</v>
      </c>
      <c r="H88" s="5" t="s">
        <v>14</v>
      </c>
      <c r="I88" s="5" t="s">
        <v>15</v>
      </c>
      <c r="J88" t="s">
        <v>35</v>
      </c>
      <c r="K88" s="2" t="str">
        <f>VLOOKUP(B88,[1]线上建店审批明细!$A:$E,5,0)</f>
        <v>已抄送 | 线上督导服务号-如有异议请联系区域经理（此账号不做回复） 已抄送 01/19 10:08;
已抄送 | 谢芳 已抄送 01/19 10:08;
已抄送 | 线上督导-鹿世鸣-督导部 已抄送 01/19 10:08;
已同意 | 贺龙娇 已同意 01/19 14:18;
已同意 | 杨文慧 已同意 01/19 14:31;
已同意 | 施工监理-范钟欣-13817733545 已同意 01/20 18:09;
已同意 | 王伟清 已同意 01/20 18:10;
已同意 | 刘崇宇-18616022203-督导部 已同意 01/22 17:28;
已同意 | 蔡文佳-18916500662-线下运营部 已同意 01/22 21:45;
已同意 | 线下堂食助理-婷婷 已同意 01/23 09:55;
已同意 | 单玮-13816935059-督导部 已同意 01/23 16:41;
已抄送 | 卢家豪 已抄送 01/23 16:41;
已抄送 | 抖音&amp;快手-周幂-17521714387 已抄送 01/23 16:41;
已同意 | 苏磊 已同意 01/23 16:42;
已抄送 | 翁嘉隆-线上运营总监-13611699917 已抄送 01/23 16:42;
已同意 | 陈宇航-线上助理-18350349892 三平台建店完成 已同意 01/28 12:18;
已抄送 | 谢芳 已抄送 01/28 12:18;
已抄送 | 黄琪艳 已抄送 01/28 12:18;
已抄送 | 王京海 已抄送 01/28 12:18</v>
      </c>
    </row>
    <row r="89" customHeight="1" spans="1:11">
      <c r="A89" s="12" t="s">
        <v>11</v>
      </c>
      <c r="B89" s="5">
        <v>2462</v>
      </c>
      <c r="C89" s="5" t="s">
        <v>21</v>
      </c>
      <c r="D89" s="5" t="s">
        <v>43</v>
      </c>
      <c r="E89" s="5" t="s">
        <v>144</v>
      </c>
      <c r="F89" s="17" t="s">
        <v>145</v>
      </c>
      <c r="G89" s="7">
        <v>46039</v>
      </c>
      <c r="H89" s="5" t="s">
        <v>14</v>
      </c>
      <c r="I89" s="5" t="s">
        <v>15</v>
      </c>
      <c r="J89" t="s">
        <v>35</v>
      </c>
      <c r="K89" s="2" t="str">
        <f>VLOOKUP(B89,[1]线上建店审批明细!$A:$E,5,0)</f>
        <v>已抄送 | 线上督导服务号-如有异议请联系区域经理（此账号不做回复） 已抄送 01/18 14:08;
已抄送 | 谢芳 已抄送 01/18 14:08;
已抄送 | 线上督导-鹿世鸣-督导部 已抄送 01/18 14:08;
已同意 | 贺龙娇 已同意 01/19 14:21;
已同意 | 杨文慧 已同意 01/19 14:31;
已同意 | 施工监理-范钟欣-13817733545 已同意 01/19 17:32;
已同意 | 王伟清 已同意 01/19 17:40;
已同意 | 刘崇宇-18616022203-督导部 已同意 01/20 15:36;
已同意 | 蔡文佳-18916500662-线下运营部 已同意 01/20 21:25;
已同意 | 线下堂食助理-婷婷 已同意 01/21 10:09;
已同意 | 单玮-13816935059-督导部 已同意 01/21 17:40;
已抄送 | 卢家豪 已抄送 01/21 17:40;
已抄送 | 抖音&amp;快手-周幂-17521714387 已抄送 01/21 17:40;
已同意 | 苏磊 已同意 01/21 17:41;
已抄送 | 翁嘉隆-线上运营总监-13611699917 已抄送 01/21 17:41;
已同意 | 陈宇航-线上助理-18350349892 三平台建店完成 已同意 01/26 19:11;
已抄送 | 谢芳 已抄送 01/26 19:11;
已抄送 | 黄琪艳 已抄送 01/26 19:11;
已抄送 | 王京海 已抄送 01/26 19:11</v>
      </c>
    </row>
    <row r="90" customHeight="1" spans="1:11">
      <c r="A90" s="15" t="s">
        <v>16</v>
      </c>
      <c r="B90" s="5">
        <v>2454</v>
      </c>
      <c r="C90" s="5" t="s">
        <v>36</v>
      </c>
      <c r="D90" s="5" t="s">
        <v>27</v>
      </c>
      <c r="E90" s="5" t="s">
        <v>146</v>
      </c>
      <c r="F90" s="17" t="s">
        <v>124</v>
      </c>
      <c r="G90" s="7">
        <v>46039</v>
      </c>
      <c r="H90" s="5" t="s">
        <v>14</v>
      </c>
      <c r="I90" s="5" t="s">
        <v>15</v>
      </c>
      <c r="J90" t="s">
        <v>35</v>
      </c>
      <c r="K90" s="2" t="str">
        <f>VLOOKUP(B90,[1]线上建店审批明细!$A:$E,5,0)</f>
        <v>已抄送 | 线上督导服务号-如有异议请联系区域经理（此账号不做回复） 已抄送 01/14 12:01;
已抄送 | 谢芳 已抄送 01/14 12:01;
已抄送 | 线上督导-鹿世鸣-督导部 已抄送 01/14 12:01;
已同意 | 贺龙娇 已同意 01/14 15:11;
已同意 | 杨文慧 已同意 01/14 15:22;
已同意 | 施工监理-范钟欣-13817733545 已同意 01/19 13:10;
已同意 | 王伟清 已同意 01/19 13:58;
已同意 | 刘崇宇-18616022203-督导部 已同意 01/19 15:39;
已同意 | 蔡文佳-18916500662-线下运营部 已同意 01/19 18:58;
已同意 | 线下堂食助理-婷婷 已同意 01/20 10:20;
已同意 | 单玮-13816935059-督导部 已同意 01/20 10:34;
已抄送 | 卢家豪 已抄送 01/20 10:34;
已抄送 | 抖音&amp;快手-周幂-17521714387 已抄送 01/20 10:34;
已同意 | 苏磊 已同意 01/20 10:35;
已抄送 | 翁嘉隆-线上运营总监-13611699917 已抄送 01/20 10:35;
已同意 | 陈宇航-线上助理-18350349892 三平台建店完成 已同意 01/23 17:33;
已抄送 | 谢芳 已抄送 01/23 17:33;
已抄送 | 黄琪艳 已抄送 01/23 17:33;
已抄送 | 王京海 已抄送 01/23 17:33</v>
      </c>
    </row>
    <row r="91" customHeight="1" spans="1:11">
      <c r="A91" s="15" t="s">
        <v>16</v>
      </c>
      <c r="B91" s="5">
        <v>2455</v>
      </c>
      <c r="C91" s="5" t="s">
        <v>36</v>
      </c>
      <c r="D91" s="5" t="s">
        <v>27</v>
      </c>
      <c r="E91" s="5" t="s">
        <v>147</v>
      </c>
      <c r="F91" s="17" t="s">
        <v>124</v>
      </c>
      <c r="G91" s="7">
        <v>46039</v>
      </c>
      <c r="H91" s="5" t="s">
        <v>14</v>
      </c>
      <c r="I91" s="5" t="s">
        <v>15</v>
      </c>
      <c r="J91" t="s">
        <v>35</v>
      </c>
      <c r="K91" s="2" t="str">
        <f>VLOOKUP(B91,[1]线上建店审批明细!$A:$E,5,0)</f>
        <v>已抄送 | 线上督导服务号-如有异议请联系区域经理（此账号不做回复） 已抄送 01/14 12:02;
已抄送 | 谢芳 已抄送 01/14 12:02;
已抄送 | 线上督导-鹿世鸣-督导部 已抄送 01/14 12:02;
已同意 | 贺龙娇 已同意 01/14 15:08;
已同意 | 杨文慧 已同意 01/14 15:21;
已同意 | 施工监理-范钟欣-13817733545 已同意 01/19 17:36;
已同意 | 王伟清 已同意 01/19 17:40;
已同意 | 刘崇宇-18616022203-督导部 已同意 01/20 15:36;
已同意 | 蔡文佳-18916500662-线下运营部 已同意 01/20 21:23;
已同意 | 线下堂食助理-婷婷 已同意 01/21 10:10;
已同意 | 单玮-13816935059-督导部 已同意 01/21 14:05;
已抄送 | 卢家豪 已抄送 01/21 14:05;
已抄送 | 抖音&amp;快手-周幂-17521714387 已抄送 01/21 14:05;
已同意 | 苏磊 已同意 01/21 14:19;
已抄送 | 翁嘉隆-线上运营总监-13611699917 已抄送 01/21 14:19;
已同意 | 陈宇航-线上助理-18350349892 三平台建店完成 已同意 01/26 19:10;
已抄送 | 谢芳 已抄送 01/26 19:10;
已抄送 | 黄琪艳 已抄送 01/26 19:10;
已抄送 | 王京海 已抄送 01/26 19:10</v>
      </c>
    </row>
    <row r="92" customHeight="1" spans="1:11">
      <c r="A92" s="10" t="s">
        <v>25</v>
      </c>
      <c r="B92" s="5">
        <v>2490</v>
      </c>
      <c r="C92" s="5" t="s">
        <v>36</v>
      </c>
      <c r="D92" s="5" t="s">
        <v>27</v>
      </c>
      <c r="E92" s="5" t="s">
        <v>148</v>
      </c>
      <c r="F92" s="17" t="s">
        <v>126</v>
      </c>
      <c r="G92" s="7">
        <v>46039</v>
      </c>
      <c r="H92" s="5" t="s">
        <v>14</v>
      </c>
      <c r="I92" s="5" t="s">
        <v>15</v>
      </c>
      <c r="J92" t="s">
        <v>35</v>
      </c>
      <c r="K92" s="2" t="str">
        <f>VLOOKUP(B92,[1]线上建店审批明细!$A:$E,5,0)</f>
        <v>已抄送 | 线上督导服务号-如有异议请联系区域经理（此账号不做回复） 已抄送 01/17 12:07;
已抄送 | 谢芳 已抄送 01/17 12:07;
已抄送 | 线上督导-鹿世鸣-督导部 已抄送 01/17 12:07;
已同意 | 贺龙娇 已同意 01/19 14:58;
已同意 | 杨文慧 已同意 01/19 15:00;
已同意 | 施工监理-范钟欣-13817733545 已同意 01/22 13:45;
已同意 | 王伟清 已同意 01/22 13:45;
已同意 | 刘崇宇-18616022203-督导部 已同意 01/22 17:25;
已同意 | 蔡文佳-18916500662-线下运营部 已同意 01/22 22:01;
已同意 | 线下堂食助理-婷婷 已同意 01/23 09:58;
已同意 | 单玮-13816935059-督导部 已同意 01/23 16:37;
已抄送 | 卢家豪 已抄送 01/23 16:37;
已抄送 | 抖音&amp;快手-周幂-17521714387 已抄送 01/23 16:37;
已同意 | 苏磊 已同意 01/23 16:37;
已抄送 | 翁嘉隆-线上运营总监-13611699917 已抄送 01/23 16:37;
已同意 | 陈宇航-线上助理-18350349892 三平台建店完成 已同意 02/05 11:23;
已抄送 | 谢芳 已抄送 02/05 11:23;
已抄送 | 黄琪艳 已抄送 02/05 11:23;
已抄送 | 王京海 已抄送 02/05 11:23</v>
      </c>
    </row>
    <row r="93" customHeight="1" spans="1:11">
      <c r="A93" s="4" t="s">
        <v>11</v>
      </c>
      <c r="B93" s="5">
        <v>2501</v>
      </c>
      <c r="C93" s="5" t="s">
        <v>12</v>
      </c>
      <c r="D93" s="5" t="s">
        <v>12</v>
      </c>
      <c r="E93" s="5" t="s">
        <v>149</v>
      </c>
      <c r="F93" s="17" t="s">
        <v>145</v>
      </c>
      <c r="G93" s="7">
        <v>46041</v>
      </c>
      <c r="H93" s="5" t="s">
        <v>14</v>
      </c>
      <c r="I93" s="5" t="s">
        <v>15</v>
      </c>
      <c r="J93" t="s">
        <v>73</v>
      </c>
      <c r="K93" s="2" t="str">
        <f>VLOOKUP(B93,[1]线上建店审批明细!$A:$E,5,0)</f>
        <v>已抄送 | 线上督导服务号-如有异议请联系区域经理（此账号不做回复） 已抄送 01/19 18:04;
已抄送 | 谢芳 已抄送 01/19 18:04;
已抄送 | 线上督导-鹿世鸣-督导部 已抄送 01/19 18:04;
已同意 | 贺龙娇 已同意 01/20 16:02;
已同意 | 杨文慧 已同意 01/20 16:13;
已同意 | 施工监理-范钟欣-13817733545 已同意 01/21 17:34;
已同意 | 王伟清 已同意 01/21 17:36;
已同意 | 刘崇宇-18616022203-督导部 已同意 01/22 17:27;
已同意 | 蔡文佳-18916500662-线下运营部 已同意 01/22 21:50;
已同意 | 线下堂食助理-婷婷 已同意 01/23 10:01;
已同意 | 单玮-13816935059-督导部 已同意 01/23 16:26;
已抄送 | 卢家豪 已抄送 01/23 16:26;
已抄送 | 抖音&amp;快手-周幂-17521714387 已抄送 01/23 16:26;
已同意 | 苏磊 已同意 01/23 16:26;
已抄送 | 翁嘉隆-线上运营总监-13611699917 已抄送 01/23 16:26</v>
      </c>
    </row>
    <row r="94" customHeight="1" spans="1:11">
      <c r="A94" s="18" t="s">
        <v>121</v>
      </c>
      <c r="B94" s="5">
        <v>2433</v>
      </c>
      <c r="C94" s="5" t="s">
        <v>36</v>
      </c>
      <c r="D94" s="5" t="s">
        <v>45</v>
      </c>
      <c r="E94" s="5" t="s">
        <v>150</v>
      </c>
      <c r="F94" s="17" t="s">
        <v>151</v>
      </c>
      <c r="G94" s="7">
        <v>46042</v>
      </c>
      <c r="H94" s="5" t="s">
        <v>14</v>
      </c>
      <c r="I94" s="5" t="s">
        <v>15</v>
      </c>
      <c r="J94" t="s">
        <v>35</v>
      </c>
      <c r="K94" s="2" t="str">
        <f>VLOOKUP(B94,[1]线上建店审批明细!$A:$E,5,0)</f>
        <v>已抄送 | 线上督导服务号-如有异议请联系区域经理（此账号不做回复） 已抄送 01/21 17:57;
已抄送 | 谢芳 已抄送 01/21 17:57;
已抄送 | 线上督导-鹿世鸣-督导部 已抄送 01/21 17:57;
已同意 | 贺龙娇 已同意 01/22 14:00;
已同意 | 杨文慧 已同意 01/22 14:07;
已同意 | 施工监理-范钟欣-13817733545 已同意 01/27 11:59;
已同意 | 王伟清 已同意 01/27 12:16;
已同意 | 刘崇宇-18616022203-督导部 已同意 01/30 13:45;
已同意 | 蔡文佳-18916500662-线下运营部 已同意 01/30 16:04;
已同意 | 线下堂食助理-婷婷 已同意 01/30 16:10;
已同意 | 单玮-13816935059-督导部 已同意 01/30 17:49;
已抄送 | 卢家豪 已抄送 01/30 17:49;
已抄送 | 抖音&amp;快手-周幂-17521714387 已抄送 01/30 17:49;
已同意 | 苏磊 已同意 01/30 17:50;
已抄送 | 翁嘉隆-线上运营总监-13611699917 已抄送 01/30 17:50;
已同意 | 陈宇航-线上助理-18350349892 三平台建店完成 已同意 02/05 11:25;
已抄送 | 谢芳 已抄送 02/05 11:25;
已抄送 | 黄琪艳 已抄送 02/05 11:25;
已抄送 | 王京海 已抄送 02/05 11:25</v>
      </c>
    </row>
    <row r="95" customHeight="1" spans="1:11">
      <c r="A95" s="18" t="s">
        <v>121</v>
      </c>
      <c r="B95" s="5">
        <v>2514</v>
      </c>
      <c r="C95" s="5" t="s">
        <v>36</v>
      </c>
      <c r="D95" s="5" t="s">
        <v>53</v>
      </c>
      <c r="E95" s="5" t="s">
        <v>152</v>
      </c>
      <c r="F95" s="17" t="s">
        <v>126</v>
      </c>
      <c r="G95" s="7">
        <v>46042</v>
      </c>
      <c r="H95" s="5" t="s">
        <v>14</v>
      </c>
      <c r="I95" s="5" t="s">
        <v>15</v>
      </c>
      <c r="J95" t="s">
        <v>35</v>
      </c>
      <c r="K95" s="2" t="str">
        <f>VLOOKUP(B95,[1]线上建店审批明细!$A:$E,5,0)</f>
        <v>已抄送 | 线上督导服务号-如有异议请联系区域经理（此账号不做回复） 已抄送 01/22 15:33;
已抄送 | 谢芳 已抄送 01/22 15:33;
已抄送 | 线上督导-鹿世鸣-督导部 已抄送 01/22 15:33;
已同意 | 贺龙娇 已同意 01/22 17:37;
已同意 | 杨文慧 已同意 01/22 18:41;
已同意 | 施工监理-范钟欣-13817733545 已同意 01/23 10:20;
已同意 | 王伟清 已同意 01/23 10:24;
已同意 | 刘崇宇-18616022203-督导部 已同意 01/27 11:49;
已同意 | 蔡文佳-18916500662-线下运营部 已同意 01/27 20:40;
已同意 | 休息中-线下堂食助理-婷婷 已同意 01/28 09:56;
已同意 | 单玮-13816935059-督导部 已同意 01/28 10:19;
已抄送 | 卢家豪 已抄送 01/28 10:19;
已抄送 | 抖音&amp;快手-周幂-17521714387 已抄送 01/28 10:19;
已同意 | 苏磊 已同意 01/28 10:19;
已抄送 | 翁嘉隆-线上运营总监-13611699917 已抄送 01/28 10:19;
已同意 | 陈宇航-线上助理-18350349892 三平台建店完成 已同意 01/31 11:20;
已抄送 | 谢芳 已抄送 01/31 11:20;
已抄送 | 黄琪艳 已抄送 01/31 11:20;
已抄送 | 王京海 已抄送 01/31 11:20</v>
      </c>
    </row>
    <row r="96" customHeight="1" spans="1:11">
      <c r="A96" s="11" t="s">
        <v>29</v>
      </c>
      <c r="B96" s="5">
        <v>2513</v>
      </c>
      <c r="C96" s="5" t="s">
        <v>32</v>
      </c>
      <c r="D96" s="5" t="s">
        <v>61</v>
      </c>
      <c r="E96" s="5" t="s">
        <v>153</v>
      </c>
      <c r="F96" s="17" t="s">
        <v>154</v>
      </c>
      <c r="G96" s="7">
        <v>46042</v>
      </c>
      <c r="H96" s="5" t="s">
        <v>14</v>
      </c>
      <c r="I96" s="5" t="s">
        <v>15</v>
      </c>
      <c r="J96" t="s">
        <v>35</v>
      </c>
      <c r="K96" s="2" t="str">
        <f>VLOOKUP(B96,[1]线上建店审批明细!$A:$E,5,0)</f>
        <v>已抄送 | 线上督导服务号-如有异议请联系区域经理（此账号不做回复） 已抄送 01/21 10:59;
已抄送 | 谢芳 已抄送 01/21 10:59;
已抄送 | 线上督导-鹿世鸣-督导部 已抄送 01/21 10:59;
已同意 | 贺龙娇 已同意 01/22 14:02;
已同意 | 杨文慧 已同意 01/22 14:07;
已同意 | 施工监理-范钟欣-13817733545 已同意 01/24 11:59;
已同意 | 王伟清 已同意 01/24 12:21;
已同意 | 刘崇宇-18616022203-督导部 已同意 01/27 11:49;
已同意 | 蔡文佳-18916500662-线下运营部 已同意 01/27 20:37;
已同意 | 休息中-线下堂食助理-婷婷 已同意 01/28 09:56;
已同意 | 单玮-13816935059-督导部 已同意 01/28 10:19;
已抄送 | 卢家豪 已抄送 01/28 10:19;
已抄送 | 抖音&amp;快手-周幂-17521714387 已抄送 01/28 10:19;
已同意 | 苏磊 已同意 01/28 10:19;
已抄送 | 翁嘉隆-线上运营总监-13611699917 已抄送 01/28 10:19;
已同意 | 陈宇航-线上助理-18350349892 三平台建店完成 已同意 01/31 11:19;
已抄送 | 谢芳 已抄送 01/31 11:19;
已抄送 | 黄琪艳 已抄送 01/31 11:19;
已抄送 | 王京海 已抄送 01/31 11:19</v>
      </c>
    </row>
    <row r="97" customHeight="1" spans="1:11">
      <c r="A97" s="12" t="s">
        <v>11</v>
      </c>
      <c r="B97" s="5">
        <v>2524</v>
      </c>
      <c r="C97" s="5" t="s">
        <v>50</v>
      </c>
      <c r="D97" s="5" t="s">
        <v>119</v>
      </c>
      <c r="E97" s="5" t="s">
        <v>155</v>
      </c>
      <c r="F97" s="17" t="s">
        <v>156</v>
      </c>
      <c r="G97" s="7">
        <v>46042</v>
      </c>
      <c r="H97" s="5" t="s">
        <v>14</v>
      </c>
      <c r="I97" s="5" t="s">
        <v>15</v>
      </c>
      <c r="J97" t="s">
        <v>35</v>
      </c>
      <c r="K97" s="2" t="str">
        <f>VLOOKUP(B97,[1]线上建店审批明细!$A:$E,5,0)</f>
        <v>已抄送 | 线上督导服务号-如有异议请联系区域经理（此账号不做回复） 已抄送 01/21 11:42;
已抄送 | 谢芳 已抄送 01/21 11:42;
已抄送 | 线上督导-鹿世鸣-督导部 已抄送 01/21 11:42;
已同意 | 贺龙娇 已同意 01/27 18:01;
已同意 | 杨文慧 已同意 01/27 18:05;
已同意 | 施工监理-范钟欣-13817733545 已同意 01/28 09:42;
已同意 | 王伟清 已同意 01/28 09:58;
已同意 | 刘崇宇-18616022203-督导部 已同意 01/30 13:44;
已同意 | 蔡文佳-18916500662-线下运营部 已同意 01/30 16:02;
已同意 | 线下堂食助理-婷婷 已同意 01/30 16:11;
已同意 | 单玮-13816935059-督导部 已同意 01/30 17:45;
已抄送 | 卢家豪 已抄送 01/30 17:45;
已抄送 | 抖音&amp;快手-周幂-17521714387 已抄送 01/30 17:45;
已同意 | 苏磊 已同意 01/30 17:50;
已抄送 | 翁嘉隆-线上运营总监-13611699917 已抄送 01/30 17:50;
已同意 | 陈宇航-线上助理-18350349892 三平台建店完成 已同意 02/05 11:25;
已抄送 | 谢芳 已抄送 02/05 11:25;
已抄送 | 黄琪艳 已抄送 02/05 11:25;
已抄送 | 王京海 已抄送 02/05 11:25</v>
      </c>
    </row>
    <row r="98" customHeight="1" spans="1:11">
      <c r="A98" s="13" t="s">
        <v>42</v>
      </c>
      <c r="B98" s="5">
        <v>2429</v>
      </c>
      <c r="C98" s="5" t="s">
        <v>50</v>
      </c>
      <c r="D98" s="5" t="s">
        <v>93</v>
      </c>
      <c r="E98" s="5" t="s">
        <v>157</v>
      </c>
      <c r="F98" s="17" t="s">
        <v>154</v>
      </c>
      <c r="G98" s="7">
        <v>46043</v>
      </c>
      <c r="H98" s="5" t="s">
        <v>14</v>
      </c>
      <c r="I98" s="5" t="s">
        <v>15</v>
      </c>
      <c r="J98" t="s">
        <v>73</v>
      </c>
      <c r="K98" s="2" t="str">
        <f>VLOOKUP(B98,[1]线上建店审批明细!$A:$E,5,0)</f>
        <v>已抄送 | 线上督导服务号-如有异议请联系区域经理（此账号不做回复） 已抄送 01/19 11:51;
已抄送 | 谢芳 已抄送 01/19 11:51;
已抄送 | 线上督导-鹿世鸣-督导部 已抄送 01/19 11:51;
已同意 | 贺龙娇 已同意 01/19 13:39;
已同意 | 杨文慧 已同意 01/19 13:40;
已同意 | 施工监理-范钟欣-13817733545 已同意 02/02 09:51;
已同意 | 王伟清 已同意 02/02 10:00;
已同意 | 刘崇宇-18616022203-督导部 已同意 02/02 12:35;
已同意 | 蔡文佳-18916500662-线下运营部 已同意 02/02 15:51;
已同意 | 线下堂食助理-婷婷 已同意 02/02 15:57;
已同意 | 单玮-13816935059-督导部 已同意 02/02 18:32;
已抄送 | 卢家豪 已抄送 02/02 18:32;
已抄送 | 抖音&amp;快手-周幂-17521714387 已抄送 02/02 18:32;
已同意 | 苏磊 已同意 02/02 18:32;
已抄送 | 翁嘉隆-线上运营总监-13611699917 已抄送 02/02 18:32</v>
      </c>
    </row>
    <row r="99" customHeight="1" spans="1:11">
      <c r="A99" s="13" t="s">
        <v>42</v>
      </c>
      <c r="B99" s="5">
        <v>2390</v>
      </c>
      <c r="C99" s="5" t="s">
        <v>50</v>
      </c>
      <c r="D99" s="5" t="s">
        <v>93</v>
      </c>
      <c r="E99" s="5" t="s">
        <v>158</v>
      </c>
      <c r="F99" s="17" t="s">
        <v>135</v>
      </c>
      <c r="G99" s="7">
        <v>46043</v>
      </c>
      <c r="H99" s="5" t="s">
        <v>14</v>
      </c>
      <c r="I99" s="5" t="s">
        <v>15</v>
      </c>
      <c r="J99" t="s">
        <v>73</v>
      </c>
      <c r="K99" s="2" t="str">
        <f>VLOOKUP(B99,[1]线上建店审批明细!$A:$E,5,0)</f>
        <v>已抄送 | 线上督导服务号-如有异议请联系区域经理（此账号不做回复） 已抄送 01/16 11:19;
已抄送 | 谢芳 已抄送 01/16 11:19;
已抄送 | 线上督导-鹿世鸣-督导部 已抄送 01/16 11:19;
已同意 | 贺龙娇 已同意 01/16 12:20;
已同意 | 杨文慧 已同意 01/16 13:32;
已同意 | 施工监理-范钟欣-13817733545 已同意 01/24 11:33;
已同意 | 王伟清 已同意 01/24 11:52;
已同意 | 刘崇宇-18616022203-督导部 已同意 01/26 19:05;
已同意 | 蔡文佳-18916500662-线下运营部 已同意 01/26 23:37;
已同意 | 线下堂食助理-婷婷 已同意 01/27 10:08;
已同意 | 单玮-13816935059-督导部 已同意 01/27 11:02;
已抄送 | 卢家豪 已抄送 01/27 11:02;
已抄送 | 抖音&amp;快手-周幂-17521714387 已抄送 01/27 11:02;
已同意 | 苏磊 已同意 01/27 11:04;
已抄送 | 翁嘉隆-线上运营总监-13611699917 已抄送 01/27 11:04</v>
      </c>
    </row>
    <row r="100" customHeight="1" spans="1:11">
      <c r="A100" s="9" t="s">
        <v>20</v>
      </c>
      <c r="B100" s="5">
        <v>2300</v>
      </c>
      <c r="C100" s="5" t="s">
        <v>21</v>
      </c>
      <c r="D100" s="5" t="s">
        <v>22</v>
      </c>
      <c r="E100" s="5" t="s">
        <v>159</v>
      </c>
      <c r="F100" s="17" t="s">
        <v>128</v>
      </c>
      <c r="G100" s="7">
        <v>46043</v>
      </c>
      <c r="H100" s="5" t="s">
        <v>14</v>
      </c>
      <c r="I100" s="5" t="s">
        <v>15</v>
      </c>
      <c r="J100" t="s">
        <v>73</v>
      </c>
      <c r="K100" s="2" t="str">
        <f>VLOOKUP(B100,[1]线上建店审批明细!$A:$E,5,0)</f>
        <v>已抄送 | 线上督导服务号-如有异议请联系区域经理（此账号不做回复） 已抄送 01/23 17:15;
已抄送 | 谢芳 已抄送 01/23 17:15;
已抄送 | 线上督导-鹿世鸣-督导部 已抄送 01/23 17:15;
已同意 | 贺龙娇 已同意 02/03 11:49;
已同意 | 杨文慧 已同意 02/03 11:52;
已同意 | 施工监理-范钟欣-13817733545 已同意 02/03 11:58;
已同意 | 王伟清 已同意 02/03 12:28;
已同意 | 刘崇宇-18616022203-督导部 已同意 02/03 15:23;
已同意 | 蔡文佳-18916500662-线下运营部 已同意 02/03 18:50;
已同意 | 线下堂食助理-婷婷 已同意 02/03 18:52;
已同意 | 单玮-13816935059-督导部 已同意 02/03 19:28;
已抄送 | 卢家豪 已抄送 02/03 19:28;
已抄送 | 抖音&amp;快手-周幂-17521714387 已抄送 02/03 19:28;
已同意 | 苏磊 已同意 02/03 21:14;
已抄送 | 翁嘉隆-线上运营总监-13611699917 已抄送 02/03 21:14</v>
      </c>
    </row>
    <row r="101" customHeight="1" spans="1:11">
      <c r="A101" s="9" t="s">
        <v>20</v>
      </c>
      <c r="B101" s="5">
        <v>2450</v>
      </c>
      <c r="C101" s="5" t="s">
        <v>32</v>
      </c>
      <c r="D101" s="5" t="s">
        <v>39</v>
      </c>
      <c r="E101" s="5" t="s">
        <v>160</v>
      </c>
      <c r="F101" s="17" t="s">
        <v>161</v>
      </c>
      <c r="G101" s="7">
        <v>46044</v>
      </c>
      <c r="H101" s="5" t="s">
        <v>14</v>
      </c>
      <c r="I101" s="5" t="s">
        <v>15</v>
      </c>
      <c r="J101" t="s">
        <v>35</v>
      </c>
      <c r="K101" s="2" t="str">
        <f>VLOOKUP(B101,[1]线上建店审批明细!$A:$E,5,0)</f>
        <v>已抄送 | 线上督导服务号-如有异议请联系区域经理（此账号不做回复） 已抄送 01/22 11:57;
已抄送 | 谢芳 已抄送 01/22 11:57;
已抄送 | 线上督导-鹿世鸣-督导部 已抄送 01/22 11:57;
已同意 | 李婕 已同意 01/22 12:04;
已同意 | 杨文慧 已同意 01/22 12:07;
已同意 | 施工监理-范钟欣-13817733545 已同意 01/28 17:12;
已同意 | 王伟清 已同意 01/28 17:17;
已同意 | 刘崇宇-18616022203-督导部 已同意 01/30 13:44;
已同意 | 蔡文佳-18916500662-线下运营部 已同意 01/30 16:01;
已同意 | 线下堂食助理-婷婷 已同意 01/30 16:12;
已同意 | 单玮-13816935059-督导部 已同意 01/30 17:39;
已抄送 | 卢家豪 已抄送 01/30 17:39;
已抄送 | 抖音&amp;快手-周幂-17521714387 已抄送 01/30 17:39;
已同意 | 苏磊 已同意 01/30 17:50;
已抄送 | 翁嘉隆-线上运营总监-13611699917 已抄送 01/30 17:50;
已同意 | 陈宇航-线上助理-18350349892 三平台建店完成 已同意 02/05 11:25;
已抄送 | 谢芳 已抄送 02/05 11:25;
已抄送 | 黄琪艳 已抄送 02/05 11:25;
已抄送 | 王京海 已抄送 02/05 11:25</v>
      </c>
    </row>
    <row r="102" customHeight="1" spans="1:11">
      <c r="A102" s="8" t="s">
        <v>16</v>
      </c>
      <c r="B102" s="5">
        <v>2143</v>
      </c>
      <c r="C102" s="5" t="s">
        <v>26</v>
      </c>
      <c r="D102" s="5" t="s">
        <v>82</v>
      </c>
      <c r="E102" s="5" t="s">
        <v>162</v>
      </c>
      <c r="F102" s="17" t="s">
        <v>128</v>
      </c>
      <c r="G102" s="7">
        <v>46044</v>
      </c>
      <c r="H102" s="5" t="s">
        <v>14</v>
      </c>
      <c r="I102" s="5" t="s">
        <v>15</v>
      </c>
      <c r="J102" t="s">
        <v>35</v>
      </c>
      <c r="K102" s="2" t="str">
        <f>VLOOKUP(B102,[1]线上建店审批明细!$A:$E,5,0)</f>
        <v>已抄送 | 线上督导服务号-如有异议请联系区域经理（此账号不做回复） 已抄送 01/14 14:29;
已抄送 | 谢芳 已抄送 01/14 14:29;
已抄送 | 线上督导-鹿世鸣-督导部 已抄送 01/14 14:29;
已同意 | 贺龙娇 已同意 01/14 15:06;
已同意 | 杨文慧 已同意 01/14 15:21;
已同意 | 施工监理-范钟欣-13817733545 已同意 01/26 13:48;
已同意 | 王伟清 已同意 01/26 13:56;
已同意 | 刘崇宇-18616022203-督导部 已同意 01/30 13:46;
已同意 | 蔡文佳-18916500662-线下运营部 已同意 01/30 16:10;
已同意 | 线下堂食助理-婷婷 已同意 01/30 16:13;
已同意 | 单玮-13816935059-督导部 已同意 01/30 17:20;
已抄送 | 卢家豪 已抄送 01/30 17:20;
已抄送 | 抖音&amp;快手-周幂-17521714387 已抄送 01/30 17:20;
已同意 | 苏磊 已同意 01/30 17:21;
已抄送 | 翁嘉隆-线上运营总监-13611699917 已抄送 01/30 17:21;
已同意 | 陈宇航-线上助理-18350349892 三平台建店完成 已同意 02/05 11:24;
已抄送 | 谢芳 已抄送 02/05 11:24;
已抄送 | 黄琪艳 已抄送 02/05 11:24;
已抄送 | 王京海 已抄送 02/05 11:24</v>
      </c>
    </row>
    <row r="103" customHeight="1" spans="1:11">
      <c r="A103" s="8" t="s">
        <v>16</v>
      </c>
      <c r="B103" s="5">
        <v>2489</v>
      </c>
      <c r="C103" s="5" t="s">
        <v>26</v>
      </c>
      <c r="D103" s="5" t="s">
        <v>82</v>
      </c>
      <c r="E103" s="5" t="s">
        <v>163</v>
      </c>
      <c r="F103" s="17" t="s">
        <v>161</v>
      </c>
      <c r="G103" s="7">
        <v>46044</v>
      </c>
      <c r="H103" s="5" t="s">
        <v>14</v>
      </c>
      <c r="I103" s="5" t="s">
        <v>15</v>
      </c>
      <c r="J103" t="s">
        <v>35</v>
      </c>
      <c r="K103" s="2" t="str">
        <f>VLOOKUP(B103,[1]线上建店审批明细!$A:$E,5,0)</f>
        <v>已抄送 | 线上督导服务号-如有异议请联系区域经理（此账号不做回复） 已抄送 01/22 15:14;
已抄送 | 谢芳 已抄送 01/22 15:14;
已抄送 | 线上督导-鹿世鸣-督导部 已抄送 01/22 15:14;
已同意 | 李婕 已同意 01/23 20:21;
已同意 | 杨文慧 已同意 01/23 20:23;
已同意 | 施工监理-范钟欣-13817733545 已同意 01/27 10:36;
已同意 | 王伟清 已同意 01/27 11:09;
已同意 | 刘崇宇-18616022203-督导部 已同意 01/30 13:45;
已同意 | 蔡文佳-18916500662-线下运营部 已同意 01/30 16:06;
已同意 | 线下堂食助理-婷婷 已同意 01/30 16:08;
已同意 | 单玮-13816935059-督导部 已同意 01/30 18:32;
已抄送 | 卢家豪 已抄送 01/30 18:32;
已抄送 | 抖音&amp;快手-周幂-17521714387 已抄送 01/30 18:32;
已同意 | 苏磊 已同意 01/30 18:34;
已抄送 | 翁嘉隆-线上运营总监-13611699917 已抄送 01/30 18:34;
已同意 | 陈宇航-线上助理-18350349892 三平台建店完成 已同意 02/05 11:25;
已抄送 | 谢芳 已抄送 02/05 11:25;
已抄送 | 黄琪艳 已抄送 02/05 11:25;
已抄送 | 王京海 已抄送 02/05 11:25</v>
      </c>
    </row>
    <row r="104" customHeight="1" spans="1:11">
      <c r="A104" s="14" t="s">
        <v>49</v>
      </c>
      <c r="B104" s="5">
        <v>2485</v>
      </c>
      <c r="C104" s="5" t="s">
        <v>50</v>
      </c>
      <c r="D104" s="5" t="s">
        <v>51</v>
      </c>
      <c r="E104" s="5" t="s">
        <v>164</v>
      </c>
      <c r="F104" s="17" t="s">
        <v>165</v>
      </c>
      <c r="G104" s="7">
        <v>46044</v>
      </c>
      <c r="H104" s="5" t="s">
        <v>14</v>
      </c>
      <c r="I104" s="5" t="s">
        <v>15</v>
      </c>
      <c r="J104" t="s">
        <v>73</v>
      </c>
      <c r="K104" s="2" t="str">
        <f>VLOOKUP(B104,[1]线上建店审批明细!$A:$E,5,0)</f>
        <v>已抄送 | 线上督导服务号-如有异议请联系区域经理（此账号不做回复） 已抄送 01/22 14:12;
已抄送 | 谢芳 已抄送 01/22 14:12;
已抄送 | 线上督导-鹿世鸣-督导部 已抄送 01/22 14:12;
已同意 | 李婕 已同意 01/22 14:40;
已同意 | 杨文慧 已同意 01/22 14:56;
已同意 | 施工监理-范钟欣-13817733545 已同意 01/31 17:47;
已同意 | 王伟清 已同意 01/31 17:50;
已同意 | 刘崇宇-18616022203-督导部 已同意 02/01 18:43;
已同意 | 蔡文佳-18916500662-线下运营部 已同意 02/01 20:25;
已同意 | 线下堂食助理-婷婷 已同意 02/02 10:09;
已同意 | 单玮-13816935059-督导部 已同意 02/02 16:17;
已抄送 | 卢家豪 已抄送 02/02 16:17;
已抄送 | 抖音&amp;快手-周幂-17521714387 已抄送 02/02 16:17;
已同意 | 苏磊 已同意 02/02 16:17;
已抄送 | 翁嘉隆-线上运营总监-13611699917 已抄送 02/02 16:17</v>
      </c>
    </row>
    <row r="105" customHeight="1" spans="1:11">
      <c r="A105" s="12" t="s">
        <v>11</v>
      </c>
      <c r="B105" s="5">
        <v>2195</v>
      </c>
      <c r="C105" s="5" t="s">
        <v>50</v>
      </c>
      <c r="D105" s="5" t="s">
        <v>119</v>
      </c>
      <c r="E105" s="5" t="s">
        <v>166</v>
      </c>
      <c r="F105" s="17" t="s">
        <v>167</v>
      </c>
      <c r="G105" s="7">
        <v>46044</v>
      </c>
      <c r="H105" s="5" t="s">
        <v>14</v>
      </c>
      <c r="I105" s="5" t="s">
        <v>15</v>
      </c>
      <c r="J105" t="s">
        <v>35</v>
      </c>
      <c r="K105" s="2" t="str">
        <f>VLOOKUP(B105,[1]线上建店审批明细!$A:$E,5,0)</f>
        <v>已抄送 | 线上督导服务号-如有异议请联系区域经理（此账号不做回复） 已抄送 01/22 15:08;
已抄送 | 谢芳 已抄送 01/22 15:08;
已抄送 | 线上督导-鹿世鸣-督导部 已抄送 01/22 15:08;
已同意 | 贺龙娇 已同意 01/22 17:39;
已同意 | 杨文慧 已同意 01/22 18:41;
已同意 | 施工监理-范钟欣-13817733545 已同意 01/23 13:35;
已同意 | 王伟清 已同意 01/23 13:38;
已同意 | 刘崇宇-18616022203-督导部 已同意 01/30 13:47;
已同意 | 蔡文佳-18916500662-线下运营部 已同意 01/30 16:12;
已同意 | 线下堂食助理-婷婷 已同意 01/30 16:13;
已同意 | 单玮-13816935059-督导部 已同意 01/30 17:21;
已抄送 | 卢家豪 已抄送 01/30 17:21;
已抄送 | 抖音&amp;快手-周幂-17521714387 已抄送 01/30 17:21;
已同意 | 苏磊 已同意 01/30 17:21;
已抄送 | 翁嘉隆-线上运营总监-13611699917 已抄送 01/30 17:21;
已同意 | 陈宇航-线上助理-18350349892 三平台建店完成 已同意 02/05 11:25;
已抄送 | 谢芳 已抄送 02/05 11:25;
已抄送 | 黄琪艳 已抄送 02/05 11:25;
已抄送 | 王京海 已抄送 02/05 11:25</v>
      </c>
    </row>
    <row r="106" customHeight="1" spans="1:11">
      <c r="A106" s="13" t="s">
        <v>42</v>
      </c>
      <c r="B106" s="5">
        <v>2505</v>
      </c>
      <c r="C106" s="5" t="s">
        <v>50</v>
      </c>
      <c r="D106" s="5" t="s">
        <v>93</v>
      </c>
      <c r="E106" s="5" t="s">
        <v>168</v>
      </c>
      <c r="F106" s="17" t="s">
        <v>154</v>
      </c>
      <c r="G106" s="7">
        <v>46044</v>
      </c>
      <c r="H106" s="5" t="s">
        <v>14</v>
      </c>
      <c r="I106" s="5" t="s">
        <v>15</v>
      </c>
      <c r="J106" t="s">
        <v>73</v>
      </c>
      <c r="K106" s="2" t="str">
        <f>VLOOKUP(B106,[1]线上建店审批明细!$A:$E,5,0)</f>
        <v>已抄送 | 线上督导服务号-如有异议请联系区域经理（此账号不做回复） 已抄送 01/19 14:23;
已抄送 | 谢芳 已抄送 01/19 14:23;
已抄送 | 线上督导-鹿世鸣-督导部 已抄送 01/19 14:23;
已同意 | 贺龙娇 已同意 01/20 16:14;
已同意 | 杨文慧 已同意 01/20 17:49;
已同意 | 施工监理-范钟欣-13817733545 已同意 01/31 15:05;
已同意 | 王伟清 已同意 01/31 15:36;
已同意 | 刘崇宇-18616022203-督导部 已同意 02/01 18:42;
已同意 | 蔡文佳-18916500662-线下运营部 已同意 02/01 20:14;
已同意 | 线下堂食助理-婷婷 已同意 02/02 10:03;
已同意 | 单玮-13816935059-督导部 已同意 02/02 17:15;
已抄送 | 卢家豪 已抄送 02/02 17:15;
已抄送 | 抖音&amp;快手-周幂-17521714387 已抄送 02/02 17:15;
已同意 | 苏磊 已同意 02/02 17:24;
已抄送 | 翁嘉隆-线上运营总监-13611699917 已抄送 02/02 17:24</v>
      </c>
    </row>
    <row r="107" customHeight="1" spans="1:11">
      <c r="A107" s="9" t="s">
        <v>20</v>
      </c>
      <c r="B107" s="5">
        <v>2413</v>
      </c>
      <c r="C107" s="5" t="s">
        <v>32</v>
      </c>
      <c r="D107" s="5" t="s">
        <v>39</v>
      </c>
      <c r="E107" s="5" t="s">
        <v>169</v>
      </c>
      <c r="F107" s="17" t="s">
        <v>154</v>
      </c>
      <c r="G107" s="7">
        <v>46045</v>
      </c>
      <c r="H107" s="5" t="s">
        <v>14</v>
      </c>
      <c r="I107" s="5" t="s">
        <v>15</v>
      </c>
      <c r="J107" t="s">
        <v>73</v>
      </c>
      <c r="K107" s="2" t="str">
        <f>VLOOKUP(B107,[1]线上建店审批明细!$A:$E,5,0)</f>
        <v>已抄送 | 线上督导服务号-如有异议请联系区域经理（此账号不做回复） 已抄送 01/27 13:49;
已抄送 | 谢芳 已抄送 01/27 13:49;
已抄送 | 线上督导-鹿世鸣-督导部 已抄送 01/27 13:49;
已同意 | 贺龙娇 已同意 01/27 14:09;
已同意 | 杨文慧 已同意 01/27 14:09;
已同意 | 施工监理-范钟欣-13817733545 已同意 02/03 14:57;
已同意 | 王伟清 已同意 02/03 14:59;
已同意 | 刘崇宇-18616022203-督导部 已同意 02/03 15:22;
已同意 | 蔡文佳-18916500662-线下运营部 已同意 02/03 18:55;
已同意 | 线下堂食助理-婷婷 已同意 02/03 19:00;
已同意 | 单玮-13816935059-督导部 已同意 02/03 19:21;
已抄送 | 卢家豪 已抄送 02/03 19:21;
已抄送 | 抖音&amp;快手-周幂-17521714387 已抄送 02/03 19:21;
已同意 | 苏磊 已同意 02/03 21:14;
已抄送 | 翁嘉隆-线上运营总监-13611699917 已抄送 02/03 21:14</v>
      </c>
    </row>
    <row r="108" customHeight="1" spans="1:11">
      <c r="A108" s="13" t="s">
        <v>42</v>
      </c>
      <c r="B108" s="5">
        <v>2517</v>
      </c>
      <c r="C108" s="5" t="s">
        <v>50</v>
      </c>
      <c r="D108" s="5" t="s">
        <v>93</v>
      </c>
      <c r="E108" s="5" t="s">
        <v>170</v>
      </c>
      <c r="F108" s="17" t="s">
        <v>154</v>
      </c>
      <c r="G108" s="7">
        <v>46046</v>
      </c>
      <c r="H108" s="5" t="s">
        <v>14</v>
      </c>
      <c r="I108" s="5" t="s">
        <v>15</v>
      </c>
      <c r="J108" t="s">
        <v>35</v>
      </c>
      <c r="K108" s="2" t="str">
        <f>VLOOKUP(B108,[1]线上建店审批明细!$A:$E,5,0)</f>
        <v>已抄送 | 线上督导服务号-如有异议请联系区域经理（此账号不做回复） 已抄送 01/22 11:41;
已抄送 | 谢芳 已抄送 01/22 11:41;
已抄送 | 线上督导-鹿世鸣-督导部 已抄送 01/22 11:41;
已同意 | 李婕 已同意 01/22 12:04;
已同意 | 杨文慧 已同意 01/22 12:07;
已同意 | 施工监理-范钟欣-13817733545 已同意 01/26 13:50;
已同意 | 王伟清 已同意 01/26 13:56;
已同意 | 刘崇宇-18616022203-督导部 已同意 01/28 11:52;
已同意 | 蔡文佳-18916500662-线下运营部 已同意 01/29 01:20;
已同意 | 线下堂食助理-婷婷 已同意 01/29 10:10;
已同意 | 单玮-13816935059-督导部 已同意 01/30 12:04;
已抄送 | 卢家豪 已抄送 01/30 12:04;
已抄送 | 抖音&amp;快手-周幂-17521714387 已抄送 01/30 12:04;
已同意 | 苏磊 已同意 01/30 12:16;
已抄送 | 翁嘉隆-线上运营总监-13611699917 已抄送 01/30 12:16;
已同意 | 陈宇航-线上助理-18350349892 三平台建店完成 已同意 02/04 18:47;
已抄送 | 谢芳 已抄送 02/04 18:47;
已抄送 | 黄琪艳 已抄送 02/04 18:47;
已抄送 | 王京海 已抄送 02/04 18:47</v>
      </c>
    </row>
    <row r="109" customHeight="1" spans="1:11">
      <c r="A109" s="10" t="s">
        <v>25</v>
      </c>
      <c r="B109" s="5">
        <v>2575</v>
      </c>
      <c r="C109" s="5" t="s">
        <v>36</v>
      </c>
      <c r="D109" s="5" t="s">
        <v>27</v>
      </c>
      <c r="E109" s="5" t="s">
        <v>171</v>
      </c>
      <c r="F109" s="20" t="s">
        <v>172</v>
      </c>
      <c r="G109" s="7">
        <v>46047</v>
      </c>
      <c r="H109" s="5" t="s">
        <v>14</v>
      </c>
      <c r="I109" s="5" t="s">
        <v>15</v>
      </c>
      <c r="J109" t="s">
        <v>73</v>
      </c>
      <c r="K109" s="2" t="str">
        <f>VLOOKUP(B109,[1]线上建店审批明细!$A:$E,5,0)</f>
        <v>已抄送 | 线上督导服务号-如有异议请联系区域经理（此账号不做回复） 已抄送 01/24 10:40;
已抄送 | 谢芳 已抄送 01/24 10:40;
已抄送 | 线上督导-鹿世鸣-督导部 已抄送 01/24 10:40;
已同意 | 李婕 已同意 01/26 19:11;
已同意 | 杨文慧 已同意 01/26 19:18;
已同意 | 施工监理-范钟欣-13817733545 已同意 02/02 18:27;
已同意 | 王伟清 已同意 02/02 22:12;
已同意 | 刘崇宇-18616022203-督导部 已同意 02/03 15:25;
已同意 | 蔡文佳-18916500662-线下运营部 已同意 02/03 18:43;
已同意 | 线下堂食助理-婷婷 已同意 02/03 18:48;
已同意 | 单玮-13816935059-督导部 已同意 02/03 19:40;
已抄送 | 卢家豪 已抄送 02/03 19:40;
已抄送 | 抖音&amp;快手-周幂-17521714387 已抄送 02/03 19:40;
已同意 | 苏磊 已同意 02/03 21:14;
已抄送 | 翁嘉隆-线上运营总监-13611699917 已抄送 02/03 21:14</v>
      </c>
    </row>
    <row r="110" customHeight="1" spans="1:11">
      <c r="A110" s="10" t="s">
        <v>25</v>
      </c>
      <c r="B110" s="5">
        <v>2479</v>
      </c>
      <c r="C110" s="5" t="s">
        <v>36</v>
      </c>
      <c r="D110" s="5" t="s">
        <v>27</v>
      </c>
      <c r="E110" s="5" t="s">
        <v>173</v>
      </c>
      <c r="F110" s="20" t="s">
        <v>174</v>
      </c>
      <c r="G110" s="7">
        <v>46047</v>
      </c>
      <c r="H110" s="5" t="s">
        <v>14</v>
      </c>
      <c r="I110" s="16" t="s">
        <v>15</v>
      </c>
      <c r="J110" t="s">
        <v>35</v>
      </c>
      <c r="K110" s="2" t="str">
        <f>VLOOKUP(B110,[1]线上建店审批明细!$A:$E,5,0)</f>
        <v>已抄送 | 线上督导服务号-如有异议请联系区域经理（此账号不做回复） 已抄送 01/22 11:57;
已抄送 | 谢芳 已抄送 01/22 11:57;
已抄送 | 线上督导-鹿世鸣-督导部 已抄送 01/22 11:57;
已同意 | 李婕 已同意 01/22 11:59;
已同意 | 杨文慧 已同意 01/22 12:00;
已同意 | 施工监理-范钟欣-13817733545 已同意 01/28 18:28;
已同意 | 王伟清 已同意 01/28 18:29;
已同意 | 刘崇宇-18616022203-督导部 已同意 01/30 13:43;
已同意 | 蔡文佳-18916500662-线下运营部 已同意 01/30 15:59;
已同意 | 线下堂食助理-婷婷 已同意 01/30 16:08;
已同意 | 单玮-13816935059-督导部 已同意 01/31 14:55;
已抄送 | 卢家豪 已抄送 01/31 14:55;
已抄送 | 抖音&amp;快手-周幂-17521714387 已抄送 01/31 14:55;
已同意 | 苏磊 已同意 01/31 15:15;
已抄送 | 翁嘉隆-线上运营总监-13611699917 已抄送 01/31 15:15;
已同意 | 陈宇航-线上助理-18350349892 三平台建店完成 已同意 02/05 11:26;
已抄送 | 谢芳 已抄送 02/05 11:26;
已抄送 | 黄琪艳 已抄送 02/05 11:26;
已抄送 | 王京海 已抄送 02/05 11:26</v>
      </c>
    </row>
    <row r="111" customHeight="1" spans="1:11">
      <c r="A111" s="11" t="s">
        <v>29</v>
      </c>
      <c r="B111" s="5">
        <v>2409</v>
      </c>
      <c r="C111" s="5" t="s">
        <v>21</v>
      </c>
      <c r="D111" s="5" t="s">
        <v>67</v>
      </c>
      <c r="E111" s="5" t="s">
        <v>175</v>
      </c>
      <c r="F111" s="20" t="s">
        <v>126</v>
      </c>
      <c r="G111" s="7">
        <v>46049</v>
      </c>
      <c r="H111" s="5" t="s">
        <v>14</v>
      </c>
      <c r="I111" s="5" t="s">
        <v>15</v>
      </c>
      <c r="J111" t="s">
        <v>73</v>
      </c>
      <c r="K111" s="2" t="str">
        <f>VLOOKUP(B111,[1]线上建店审批明细!$A:$E,5,0)</f>
        <v>已抄送 | 线上督导服务号-如有异议请联系区域经理（此账号不做回复） 已抄送 01/30 11:49;
已抄送 | 谢芳 已抄送 01/30 11:49;
已抄送 | 线上督导-鹿世鸣-督导部 已抄送 01/30 11:49;
已转审 | 贺龙娇 已转审 01/30 13:46;
已同意 | 李婕 已同意 02/04 12:16;
已同意 | 杨文慧 已同意 02/04 12:22;
已同意 | 施工监理-范钟欣-13817733545 已同意 02/04 13:33;
已同意 | 王伟清 已同意 02/04 15:01;
已同意 | 刘崇宇-18616022203-督导部 已同意 02/04 18:10;
已同意 | 蔡文佳-18916500662-线下运营部 已同意 02/04 18:41;
已同意 | 线下堂食助理-婷婷 已同意 02/04 18:59;
已同意 | 单玮-13816935059-督导部 已同意 02/04 19:17;
已抄送 | 卢家豪 已抄送 02/04 19:17;
已抄送 | 抖音&amp;快手-周幂-17521714387 已抄送 02/04 19:17;
已同意 | 苏磊 已同意 02/04 19:47;
已抄送 | 翁嘉隆-线上运营总监-13611699917 已抄送 02/04 19:47</v>
      </c>
    </row>
    <row r="112" customHeight="1" spans="1:11">
      <c r="A112" s="14" t="s">
        <v>49</v>
      </c>
      <c r="B112" s="5">
        <v>2483</v>
      </c>
      <c r="C112" s="5" t="s">
        <v>17</v>
      </c>
      <c r="D112" s="5" t="s">
        <v>17</v>
      </c>
      <c r="E112" s="5" t="s">
        <v>176</v>
      </c>
      <c r="F112" s="20" t="s">
        <v>156</v>
      </c>
      <c r="G112" s="7">
        <v>46049</v>
      </c>
      <c r="H112" s="5" t="s">
        <v>14</v>
      </c>
      <c r="I112" s="5" t="s">
        <v>15</v>
      </c>
      <c r="J112" t="s">
        <v>73</v>
      </c>
      <c r="K112" s="2" t="str">
        <f>VLOOKUP(B112,[1]线上建店审批明细!$A:$E,5,0)</f>
        <v>已抄送 | 线上督导服务号-如有异议请联系区域经理（此账号不做回复） 已抄送 01/27 15:35;
已抄送 | 谢芳 已抄送 01/27 15:35;
已抄送 | 线上督导-鹿世鸣-督导部 已抄送 01/27 15:35;
已转审 | 贺龙娇 已转审 01/27 17:55;
已同意 | 李婕 已同意 01/27 19:47;
已同意 | 杨文慧 已同意 01/28 09:41;
已同意 | 施工监理-范钟欣-13817733545 已同意 01/30 17:54;
已同意 | 王伟清 已同意 01/30 17:55;
已同意 | 刘崇宇-18616022203-督导部 已同意 02/01 18:43;
已同意 | 蔡文佳-18916500662-线下运营部 已同意 02/01 20:19;
已同意 | 线下堂食助理-婷婷 已同意 02/02 10:07;
已同意 | 单玮-13816935059-督导部 已同意 02/02 16:17;
已抄送 | 卢家豪 已抄送 02/02 16:17;
已抄送 | 抖音&amp;快手-周幂-17521714387 已抄送 02/02 16:17;
已同意 | 苏磊 已同意 02/02 16:17;
已抄送 | 翁嘉隆-线上运营总监-13611699917 已抄送 02/02 16:17</v>
      </c>
    </row>
    <row r="113" customHeight="1" spans="1:11">
      <c r="A113" s="21" t="s">
        <v>29</v>
      </c>
      <c r="B113" s="5">
        <v>2307</v>
      </c>
      <c r="C113" s="5" t="s">
        <v>21</v>
      </c>
      <c r="D113" s="5" t="s">
        <v>22</v>
      </c>
      <c r="E113" s="5" t="s">
        <v>177</v>
      </c>
      <c r="F113" s="20" t="s">
        <v>156</v>
      </c>
      <c r="G113" s="7">
        <v>46050</v>
      </c>
      <c r="H113" s="5" t="s">
        <v>14</v>
      </c>
      <c r="I113" s="5" t="s">
        <v>15</v>
      </c>
      <c r="J113" t="s">
        <v>73</v>
      </c>
      <c r="K113" s="2" t="str">
        <f>VLOOKUP(B113,[1]线上建店审批明细!$A:$E,5,0)</f>
        <v>已抄送 | 线上督导服务号-如有异议请联系区域经理（此账号不做回复） 已抄送 01/30 14:45;
已抄送 | 谢芳 已抄送 01/30 14:45;
已抄送 | 线上督导-鹿世鸣-督导部 已抄送 01/30 14:45;
已同意 | 贺龙娇 已同意 01/30 14:55;
已同意 | 杨文慧 已同意 01/30 15:12;
已同意 | 施工监理-范钟欣-13817733545 已同意 01/30 15:14;
已同意 | 王伟清 已同意 01/30 15:16;
已同意 | 刘崇宇-18616022203-督导部 已同意 02/02 12:38;
已同意 | 蔡文佳-18916500662-线下运营部 已同意 02/02 15:45;
已同意 | 线下堂食助理-婷婷 已同意 02/02 15:58;
已同意 | 单玮-13816935059-督导部 已同意 02/02 18:31;
已抄送 | 卢家豪 已抄送 02/02 18:31;
已抄送 | 抖音&amp;快手-周幂-17521714387 已抄送 02/02 18:31;
已同意 | 苏磊 已同意 02/02 18:32;
已抄送 | 翁嘉隆-线上运营总监-13611699917 已抄送 02/02 18:32</v>
      </c>
    </row>
    <row r="114" customHeight="1" spans="1:11">
      <c r="A114" s="10" t="s">
        <v>25</v>
      </c>
      <c r="B114" s="5">
        <v>2504</v>
      </c>
      <c r="C114" s="5" t="s">
        <v>36</v>
      </c>
      <c r="D114" s="5" t="s">
        <v>27</v>
      </c>
      <c r="E114" s="5" t="s">
        <v>178</v>
      </c>
      <c r="F114" s="20" t="s">
        <v>139</v>
      </c>
      <c r="G114" s="7">
        <v>46050</v>
      </c>
      <c r="H114" s="5" t="s">
        <v>14</v>
      </c>
      <c r="I114" s="5" t="s">
        <v>15</v>
      </c>
      <c r="J114" t="s">
        <v>73</v>
      </c>
      <c r="K114" s="2" t="str">
        <f>VLOOKUP(B114,[1]线上建店审批明细!$A:$E,5,0)</f>
        <v>已抄送 | 线上督导服务号-如有异议请联系区域经理（此账号不做回复） 已抄送 01/27 13:50;
已抄送 | 谢芳 已抄送 01/27 13:50;
已抄送 | 线上督导-鹿世鸣-督导部 已抄送 01/27 13:50;
已转审 | 贺龙娇 已转审 01/27 17:56;
已同意 | 李婕 已同意 01/27 19:46;
已同意 | 杨文慧 已同意 01/28 09:41;
已同意 | 施工监理-范钟欣-13817733545 已同意 02/02 09:46;
已同意 | 王伟清 已同意 02/02 10:00;
已同意 | 刘崇宇-18616022203-督导部 已同意 02/02 12:36;
已同意 | 蔡文佳-18916500662-线下运营部 已同意 02/02 15:49;
已同意 | 线下堂食助理-婷婷 已同意 02/02 15:57;
已同意 | 单玮-13816935059-督导部 已同意 02/03 10:12;
已抄送 | 卢家豪 已抄送 02/03 10:12;
已抄送 | 抖音&amp;快手-周幂-17521714387 已抄送 02/03 10:12;
已同意 | 苏磊 已同意 02/03 10:46;
已抄送 | 翁嘉隆-线上运营总监-13611699917 已抄送 02/03 10:46</v>
      </c>
    </row>
    <row r="115" customHeight="1" spans="1:11">
      <c r="A115" s="11" t="s">
        <v>29</v>
      </c>
      <c r="B115" s="5">
        <v>2347</v>
      </c>
      <c r="C115" s="5" t="s">
        <v>21</v>
      </c>
      <c r="D115" s="5" t="s">
        <v>67</v>
      </c>
      <c r="E115" s="5" t="s">
        <v>179</v>
      </c>
      <c r="F115" s="20" t="s">
        <v>174</v>
      </c>
      <c r="G115" s="7">
        <v>46050</v>
      </c>
      <c r="H115" s="5" t="s">
        <v>14</v>
      </c>
      <c r="I115" s="5" t="s">
        <v>15</v>
      </c>
      <c r="J115" t="s">
        <v>73</v>
      </c>
      <c r="K115" s="2" t="str">
        <f>VLOOKUP(B115,[1]线上建店审批明细!$A:$E,5,0)</f>
        <v>已抄送 | 线上督导服务号-如有异议请联系区域经理（此账号不做回复） 已抄送 01/27 13:51;
已抄送 | 谢芳 已抄送 01/27 13:51;
已抄送 | 线上督导-鹿世鸣-督导部 已抄送 01/27 13:51;
已同意 | 贺龙娇 已同意 01/27 14:07;
已同意 | 杨文慧 已同意 01/27 14:08;
已同意 | 施工监理-范钟欣-13817733545 已同意 01/30 14:13;
已同意 | 王伟清 已同意 01/30 14:14;
已同意 | 刘崇宇-18616022203-督导部 已同意 02/01 18:43;
已同意 | 蔡文佳-18916500662-线下运营部 已同意 02/01 20:21;
已同意 | 线下堂食助理-婷婷 已同意 02/02 10:08;
已同意 | 单玮-13816935059-督导部 已同意 02/02 16:16;
已抄送 | 卢家豪 已抄送 02/02 16:16;
已抄送 | 抖音&amp;快手-周幂-17521714387 已抄送 02/02 16:16;
已同意 | 苏磊 已同意 02/02 16:16;
已抄送 | 翁嘉隆-线上运营总监-13611699917 已抄送 02/02 16:16</v>
      </c>
    </row>
    <row r="116" customHeight="1" spans="1:11">
      <c r="A116" s="8" t="s">
        <v>16</v>
      </c>
      <c r="B116" s="5">
        <v>2546</v>
      </c>
      <c r="C116" s="5" t="s">
        <v>18</v>
      </c>
      <c r="D116" s="5" t="s">
        <v>18</v>
      </c>
      <c r="E116" s="5" t="s">
        <v>180</v>
      </c>
      <c r="F116" s="20" t="s">
        <v>181</v>
      </c>
      <c r="G116" s="7">
        <v>46050</v>
      </c>
      <c r="H116" s="5" t="s">
        <v>14</v>
      </c>
      <c r="I116" s="5" t="s">
        <v>15</v>
      </c>
      <c r="J116" t="s">
        <v>73</v>
      </c>
      <c r="K116" s="2" t="str">
        <f>VLOOKUP(B116,[1]线上建店审批明细!$A:$E,5,0)</f>
        <v>已抄送 | 线上督导服务号-如有异议请联系区域经理（此账号不做回复） 已抄送 01/28 14:48;
已抄送 | 谢芳 已抄送 01/28 14:48;
已抄送 | 线上督导-鹿世鸣-督导部 已抄送 01/28 14:48;
已转审 | 贺龙娇 已转审 01/28 18:41;
已同意 | 李婕 已同意 01/30 19:15;
已同意 | 杨文慧 已同意 01/30 19:18;
已同意 | 施工监理-范钟欣-13817733545 已同意 02/02 14:48;
已同意 | 王伟清 已同意 02/02 14:51;
已同意 | 刘崇宇-18616022203-督导部 已同意 02/02 17:59;
已同意 | 蔡文佳-18916500662-线下运营部 已同意 02/02 21:25;
已同意 | 线下堂食助理-婷婷 已同意 02/03 10:00;
已同意 | 单玮-13816935059-督导部 已同意 02/03 10:12;
已抄送 | 卢家豪 已抄送 02/03 10:12;
已抄送 | 抖音&amp;快手-周幂-17521714387 已抄送 02/03 10:12;
已同意 | 苏磊 已同意 02/03 10:46;
已抄送 | 翁嘉隆-线上运营总监-13611699917 已抄送 02/03 10:46</v>
      </c>
    </row>
    <row r="117" customHeight="1" spans="1:11">
      <c r="A117" s="14" t="s">
        <v>49</v>
      </c>
      <c r="B117" s="5">
        <v>2488</v>
      </c>
      <c r="C117" s="5" t="s">
        <v>50</v>
      </c>
      <c r="D117" s="5" t="s">
        <v>51</v>
      </c>
      <c r="E117" s="5" t="s">
        <v>182</v>
      </c>
      <c r="F117" s="20" t="s">
        <v>181</v>
      </c>
      <c r="G117" s="7">
        <v>46051</v>
      </c>
      <c r="H117" s="5" t="s">
        <v>14</v>
      </c>
      <c r="I117" s="5" t="s">
        <v>15</v>
      </c>
      <c r="J117" t="s">
        <v>73</v>
      </c>
      <c r="K117" s="2" t="str">
        <f>VLOOKUP(B117,[1]线上建店审批明细!$A:$E,5,0)</f>
        <v>已抄送 | 线上督导服务号-如有异议请联系区域经理（此账号不做回复） 已抄送 01/30 11:25;
已抄送 | 谢芳 已抄送 01/30 11:25;
已抄送 | 线上督导-鹿世鸣-督导部 已抄送 01/30 11:25;
已同意 | 贺龙娇 已同意 01/30 13:45;
已同意 | 杨文慧 已同意 01/30 13:52;
已同意 | 施工监理-范钟欣-13817733545 已同意 01/30 17:31;
已同意 | 王伟清 已同意 01/30 17:32;
已同意 | 刘崇宇-18616022203-督导部 已同意 02/02 12:37;
已同意 | 蔡文佳-18916500662-线下运营部 已同意 02/02 15:47;
已同意 | 线下堂食助理-婷婷 已同意 02/02 15:58;
已同意 | 单玮-13816935059-督导部 已同意 02/02 17:24;
已抄送 | 卢家豪 已抄送 02/02 17:24;
已抄送 | 抖音&amp;快手-周幂-17521714387 已抄送 02/02 17:24;
已同意 | 苏磊 已同意 02/02 17:24;
已抄送 | 翁嘉隆-线上运营总监-13611699917 已抄送 02/02 17:24</v>
      </c>
    </row>
    <row r="118" customHeight="1" spans="1:11">
      <c r="A118" s="14" t="s">
        <v>49</v>
      </c>
      <c r="B118" s="5">
        <v>2537</v>
      </c>
      <c r="C118" s="5" t="s">
        <v>97</v>
      </c>
      <c r="D118" s="5" t="s">
        <v>102</v>
      </c>
      <c r="E118" s="5" t="s">
        <v>183</v>
      </c>
      <c r="F118" s="20" t="s">
        <v>184</v>
      </c>
      <c r="G118" s="7">
        <v>46051</v>
      </c>
      <c r="H118" s="5" t="s">
        <v>14</v>
      </c>
      <c r="I118" s="5" t="s">
        <v>15</v>
      </c>
      <c r="J118" t="s">
        <v>73</v>
      </c>
      <c r="K118" s="2" t="str">
        <f>VLOOKUP(B118,[1]线上建店审批明细!$A:$E,5,0)</f>
        <v>已抄送 | 线上督导服务号-如有异议请联系区域经理（此账号不做回复） 已抄送 01/30 10:41;
已抄送 | 谢芳 已抄送 01/30 10:41;
已抄送 | 线上督导-鹿世鸣-督导部 已抄送 01/30 10:41;
已转审 | 贺龙娇 已转审 01/30 13:40;
已同意 | 李婕 已同意 01/30 19:14;
已同意 | 杨文慧 已同意 01/30 19:18;
已同意 | 施工监理-范钟欣-13817733545 已同意 02/03 13:47;
已同意 | 王伟清 已同意 02/03 13:49;
已同意 | 刘崇宇-18616022203-督导部 已同意 02/03 15:23;
已同意 | 蔡文佳-18916500662-线下运营部 已同意 02/03 18:52;
已同意 | 线下堂食助理-婷婷 已同意 02/03 18:53;
已同意 | 单玮-13816935059-督导部 已同意 02/03 19:26;
已抄送 | 卢家豪 已抄送 02/03 19:26;
已抄送 | 抖音&amp;快手-周幂-17521714387 已抄送 02/03 19:26;
已同意 | 苏磊 已同意 02/03 21:14;
已抄送 | 翁嘉隆-线上运营总监-13611699917 已抄送 02/03 21:14</v>
      </c>
    </row>
    <row r="119" customHeight="1" spans="1:11">
      <c r="A119" s="11" t="s">
        <v>29</v>
      </c>
      <c r="B119" s="5">
        <v>2288</v>
      </c>
      <c r="C119" s="5" t="s">
        <v>21</v>
      </c>
      <c r="D119" s="5" t="s">
        <v>47</v>
      </c>
      <c r="E119" s="5" t="s">
        <v>185</v>
      </c>
      <c r="F119" s="20" t="s">
        <v>167</v>
      </c>
      <c r="G119" s="7">
        <v>46051</v>
      </c>
      <c r="H119" s="5" t="s">
        <v>14</v>
      </c>
      <c r="I119" s="5" t="s">
        <v>15</v>
      </c>
      <c r="J119" t="s">
        <v>73</v>
      </c>
      <c r="K119" s="2" t="str">
        <f>VLOOKUP(B119,[1]线上建店审批明细!$A:$E,5,0)</f>
        <v>已抄送 | 线上督导服务号-如有异议请联系区域经理（此账号不做回复） 已抄送 01/30 11:50;
已抄送 | 谢芳 已抄送 01/30 11:50;
已抄送 | 线上督导-鹿世鸣-督导部 已抄送 01/30 11:50;
已转审 | 贺龙娇 已转审 01/30 13:47;
已同意 | 李婕 已同意 01/30 19:13;
已同意 | 杨文慧 已同意 01/30 19:17;
已同意 | 施工监理-范钟欣-13817733545 已同意 02/04 15:56;
已同意 | 王伟清 已同意 02/04 16:12;
已同意 | 刘崇宇-18616022203-督导部 已同意 02/04 18:08;
已同意 | 蔡文佳-18916500662-线下运营部 已同意 02/04 18:43;
已同意 | 线下堂食助理-婷婷 已同意 02/04 18:58;
已同意 | 单玮-13816935059-督导部 已同意 02/04 19:25;
已抄送 | 卢家豪 已抄送 02/04 19:25;
已抄送 | 抖音&amp;快手-周幂-17521714387 已抄送 02/04 19:25;
已同意 | 苏磊 已同意 02/04 19:47;
已抄送 | 翁嘉隆-线上运营总监-13611699917 已抄送 02/04 19:47</v>
      </c>
    </row>
    <row r="120" customHeight="1" spans="1:11">
      <c r="A120" s="13" t="s">
        <v>42</v>
      </c>
      <c r="B120" s="5">
        <v>2525</v>
      </c>
      <c r="C120" s="5" t="s">
        <v>50</v>
      </c>
      <c r="D120" s="5" t="s">
        <v>93</v>
      </c>
      <c r="E120" s="5" t="s">
        <v>186</v>
      </c>
      <c r="F120" s="20" t="s">
        <v>154</v>
      </c>
      <c r="G120" s="7">
        <v>46052</v>
      </c>
      <c r="H120" s="5" t="s">
        <v>14</v>
      </c>
      <c r="I120" s="5" t="s">
        <v>15</v>
      </c>
      <c r="J120" t="s">
        <v>73</v>
      </c>
      <c r="K120" s="2" t="str">
        <f>VLOOKUP(B120,[1]线上建店审批明细!$A:$E,5,0)</f>
        <v>已抄送 | 线上督导服务号-如有异议请联系区域经理（此账号不做回复） 已抄送 01/19 11:48;
已抄送 | 谢芳 已抄送 01/19 11:48;
已抄送 | 线上督导-鹿世鸣-督导部 已抄送 01/19 11:48;
已同意 | 贺龙娇 已同意 01/30 20:01;
已同意 | 杨文慧 已同意 01/30 20:04;
已同意 | 施工监理-范钟欣-13817733545 已同意 02/02 11:13;
已同意 | 王伟清 已同意 02/02 11:14;
已同意 | 刘崇宇-18616022203-督导部 已同意 02/02 12:35;
已同意 | 蔡文佳-18916500662-线下运营部 已同意 02/02 15:53;
已同意 | 线下堂食助理-婷婷 已同意 02/02 15:56;
已同意 | 单玮-13816935059-督导部 已同意 02/02 18:32;
已抄送 | 卢家豪 已抄送 02/02 18:32;
已抄送 | 抖音&amp;快手-周幂-17521714387 已抄送 02/02 18:32;
已同意 | 苏磊 已同意 02/02 18:32;
已抄送 | 翁嘉隆-线上运营总监-13611699917 已抄送 02/02 18:32</v>
      </c>
    </row>
    <row r="121" customHeight="1" spans="1:11">
      <c r="A121" s="14" t="s">
        <v>49</v>
      </c>
      <c r="B121" s="5">
        <v>2540</v>
      </c>
      <c r="C121" s="5" t="s">
        <v>50</v>
      </c>
      <c r="D121" s="5" t="s">
        <v>51</v>
      </c>
      <c r="E121" s="5" t="s">
        <v>187</v>
      </c>
      <c r="F121" s="22" t="s">
        <v>188</v>
      </c>
      <c r="G121" s="23">
        <v>46052</v>
      </c>
      <c r="H121" s="16" t="s">
        <v>14</v>
      </c>
      <c r="I121" s="5" t="s">
        <v>15</v>
      </c>
      <c r="J121" t="s">
        <v>73</v>
      </c>
      <c r="K121" s="2" t="str">
        <f>VLOOKUP(B121,[1]线上建店审批明细!$A:$E,5,0)</f>
        <v>已抄送 | 线上督导服务号-如有异议请联系区域经理（此账号不做回复） 已抄送 01/30 10:45;
已抄送 | 谢芳 已抄送 01/30 10:45;
已抄送 | 线上督导-鹿世鸣-督导部 已抄送 01/30 10:45;
已同意 | 贺龙娇 已同意 01/30 13:44;
已同意 | 杨文慧 已同意 01/30 13:52;
已同意 | 施工监理-范钟欣-13817733545 已同意 01/31 11:09;
已同意 | 王伟清 已同意 01/31 11:17;
已同意 | 刘崇宇-18616022203-督导部 已同意 02/01 18:44;
已同意 | 蔡文佳-18916500662-线下运营部 已同意 02/01 20:16;
已同意 | 线下堂食助理-婷婷 已同意 02/02 10:06;
已同意 | 单玮-13816935059-督导部 已同意 02/02 16:17;
已抄送 | 卢家豪 已抄送 02/02 16:17;
已抄送 | 抖音&amp;快手-周幂-17521714387 已抄送 02/02 16:17;
已同意 | 苏磊 已同意 02/02 16:17;
已抄送 | 翁嘉隆-线上运营总监-13611699917 已抄送 02/02 16:17</v>
      </c>
    </row>
    <row r="122" customHeight="1" spans="1:11">
      <c r="A122" s="8" t="s">
        <v>16</v>
      </c>
      <c r="B122" s="5">
        <v>2394</v>
      </c>
      <c r="C122" s="5" t="s">
        <v>18</v>
      </c>
      <c r="D122" s="5" t="s">
        <v>18</v>
      </c>
      <c r="E122" s="5" t="s">
        <v>189</v>
      </c>
      <c r="F122" s="20" t="s">
        <v>181</v>
      </c>
      <c r="G122" s="23">
        <v>46053</v>
      </c>
      <c r="H122" s="5" t="s">
        <v>14</v>
      </c>
      <c r="I122" s="5" t="s">
        <v>15</v>
      </c>
      <c r="J122" t="s">
        <v>73</v>
      </c>
      <c r="K122" s="2" t="str">
        <f>VLOOKUP(B122,[1]线上建店审批明细!$A:$E,5,0)</f>
        <v>已抄送 | 线上督导服务号-如有异议请联系区域经理（此账号不做回复） 已抄送 01/31 17:31;
已抄送 | 谢芳 已抄送 01/31 17:31;
已抄送 | 线上督导-鹿世鸣-督导部 已抄送 01/31 17:31;
已转审 | 贺龙娇 已转审 02/02 15:01;
已同意 | 李婕 已同意 02/02 19:52;
已同意 | 杨文慧 已同意 02/02 19:57;
已同意 | 施工监理-范钟欣-13817733545 已同意 02/03 09:24;
已同意 | 王伟清 已同意 02/03 09:25;
已同意 | 刘崇宇-18616022203-督导部 已同意 02/03 15:24</v>
      </c>
    </row>
    <row r="123" customHeight="1" spans="1:11">
      <c r="A123" s="4" t="s">
        <v>11</v>
      </c>
      <c r="B123" s="5">
        <v>2595</v>
      </c>
      <c r="C123" s="5" t="s">
        <v>12</v>
      </c>
      <c r="D123" s="5" t="s">
        <v>12</v>
      </c>
      <c r="E123" s="5" t="s">
        <v>190</v>
      </c>
      <c r="F123" s="20" t="s">
        <v>188</v>
      </c>
      <c r="G123" s="23">
        <v>46053</v>
      </c>
      <c r="H123" s="5" t="s">
        <v>14</v>
      </c>
      <c r="I123" s="5" t="s">
        <v>15</v>
      </c>
      <c r="J123" t="s">
        <v>73</v>
      </c>
      <c r="K123" s="2" t="str">
        <f>VLOOKUP(B123,[1]线上建店审批明细!$A:$E,5,0)</f>
        <v>已抄送 | 线上督导服务号-如有异议请联系区域经理（此账号不做回复） 已抄送 01/27 15:36;
已抄送 | 谢芳 已抄送 01/27 15:36;
已抄送 | 线上督导-鹿世鸣-督导部 已抄送 01/27 15:36;
已同意 | 贺龙娇 已同意 01/28 18:39;
已同意 | 杨文慧 已同意 01/28 18:41;
已同意 | 施工监理-范钟欣-13817733545 已同意 02/03 11:51;
已同意 | 王伟清 已同意 02/03 11:52;
已同意 | 刘崇宇-18616022203-督导部 已同意 02/03 15:24;
已同意 | 蔡文佳-18916500662-线下运营部 已同意 02/03 18:48;
已同意 | 线下堂食助理-婷婷 已同意 02/03 18:49;
已同意 | 单玮-13816935059-督导部 已同意 02/03 19:31;
已抄送 | 卢家豪 已抄送 02/03 19:31;
已抄送 | 抖音&amp;快手-周幂-17521714387 已抄送 02/03 19:31;
已同意 | 苏磊 已同意 02/03 21:14;
已抄送 | 翁嘉隆-线上运营总监-13611699917 已抄送 02/03 21:14</v>
      </c>
    </row>
    <row r="124" customHeight="1" spans="1:11">
      <c r="A124" s="18" t="s">
        <v>121</v>
      </c>
      <c r="B124" s="5">
        <v>2538</v>
      </c>
      <c r="C124" s="5" t="s">
        <v>21</v>
      </c>
      <c r="D124" s="5" t="s">
        <v>67</v>
      </c>
      <c r="E124" s="5" t="s">
        <v>191</v>
      </c>
      <c r="F124" s="20" t="s">
        <v>192</v>
      </c>
      <c r="G124" s="7">
        <v>46052</v>
      </c>
      <c r="H124" s="5" t="s">
        <v>14</v>
      </c>
      <c r="I124" s="5" t="s">
        <v>15</v>
      </c>
      <c r="J124" t="s">
        <v>73</v>
      </c>
      <c r="K124" s="2" t="str">
        <f>VLOOKUP(B124,[1]线上建店审批明细!$A:$E,5,0)</f>
        <v>已抄送 | 线上督导服务号-如有异议请联系区域经理（此账号不做回复） 已抄送 02/01 16:44;
已抄送 | 谢芳 已抄送 02/01 16:44;
已抄送 | 线上督导-鹿世鸣-督导部 已抄送 02/01 16:44;
已同意 | 贺龙娇 已同意 02/02 14:55;
已同意 | 杨文慧 已同意 02/02 15:00;
已同意 | 施工监理-范钟欣-13817733545 已同意 02/03 15:01;
已同意 | 王伟清 已同意 02/03 15:02;
已同意 | 刘崇宇-18616022203-督导部 已同意 02/03 15:21;
已同意 | 蔡文佳-18916500662-线下运营部 已同意 02/03 18:56;
已同意 | 线下堂食助理-婷婷 已同意 02/03 19:01;
已同意 | 单玮-13816935059-督导部 已同意 02/03 19:13;
已抄送 | 卢家豪 已抄送 02/03 19:13;
已抄送 | 抖音&amp;快手-周幂-17521714387 已抄送 02/03 19:13;
已同意 | 苏磊 已同意 02/03 21:14;
已抄送 | 翁嘉隆-线上运营总监-13611699917 已抄送 02/03 21:14</v>
      </c>
    </row>
    <row r="125" customHeight="1" spans="1:11">
      <c r="A125" s="10" t="s">
        <v>25</v>
      </c>
      <c r="B125" s="5">
        <v>2541</v>
      </c>
      <c r="C125" s="5" t="s">
        <v>36</v>
      </c>
      <c r="D125" s="5" t="s">
        <v>27</v>
      </c>
      <c r="E125" s="5" t="s">
        <v>193</v>
      </c>
      <c r="F125" s="20" t="s">
        <v>194</v>
      </c>
      <c r="G125" s="7">
        <v>46054</v>
      </c>
      <c r="H125" s="5" t="s">
        <v>14</v>
      </c>
      <c r="I125" s="5" t="s">
        <v>15</v>
      </c>
      <c r="J125" t="s">
        <v>73</v>
      </c>
      <c r="K125" s="2" t="str">
        <f>VLOOKUP(B125,[1]线上建店审批明细!$A:$E,5,0)</f>
        <v>已抄送 | 线上督导服务号-如有异议请联系区域经理（此账号不做回复） 已抄送 02/01 16:45;
已抄送 | 谢芳 已抄送 02/01 16:45;
已抄送 | 线上督导-鹿世鸣-督导部 已抄送 02/01 16:45;
已同意 | 贺龙娇 已同意 02/02 14:54;
已同意 | 杨文慧 已同意 02/02 15:01;
已同意 | 施工监理-范钟欣-13817733545 已同意 02/04 17:17;
已同意 | 王伟清 已同意 02/04 17:20;
已同意 | 刘崇宇-18616022203-督导部 已同意 02/04 17:40;
已同意 | 蔡文佳-18916500662-线下运营部 已同意 02/04 18:50;
已同意 | 线下堂食助理-婷婷 已同意 02/04 18:56;
已同意 | 单玮-13816935059-督导部 已同意 02/04 19:48;
已抄送 | 卢家豪 已抄送 02/04 19:48;
已抄送 | 抖音&amp;快手-周幂-17521714387 已抄送 02/04 19:48;
已同意 | 苏磊 已同意 02/05 09:35;
已抄送 | 翁嘉隆-线上运营总监-13611699917 已抄送 02/05 09:35</v>
      </c>
    </row>
    <row r="126" customHeight="1" spans="1:11">
      <c r="A126" s="13" t="s">
        <v>42</v>
      </c>
      <c r="B126" s="5">
        <v>2549</v>
      </c>
      <c r="C126" s="5" t="s">
        <v>17</v>
      </c>
      <c r="D126" s="5" t="s">
        <v>18</v>
      </c>
      <c r="E126" s="5" t="s">
        <v>195</v>
      </c>
      <c r="F126" s="20" t="s">
        <v>184</v>
      </c>
      <c r="G126" s="7">
        <v>46056</v>
      </c>
      <c r="H126" s="5" t="s">
        <v>14</v>
      </c>
      <c r="I126" s="5" t="s">
        <v>15</v>
      </c>
      <c r="J126" t="s">
        <v>73</v>
      </c>
      <c r="K126" s="2" t="str">
        <f>VLOOKUP(B126,[1]线上建店审批明细!$A:$E,5,0)</f>
        <v>已抄送 | 线上督导服务号-如有异议请联系区域经理（此账号不做回复） 已抄送 01/28 15:13;
已抄送 | 谢芳 已抄送 01/28 15:13;
已抄送 | 线上督导-鹿世鸣-督导部 已抄送 01/28 15:13;
已同意 | 贺龙娇 已同意 02/02 16:08;
已同意 | 杨文慧 已同意 02/02 16:48;
已同意 | 施工监理-范钟欣-13817733545 已同意 02/02 16:56;
已同意 | 王伟清 已同意 02/02 16:56;
已同意 | 刘崇宇-18616022203-督导部 已同意 02/02 17:56;
已同意 | 蔡文佳-18916500662-线下运营部 已同意 02/03 18:45;
已同意 | 线下堂食助理-婷婷 已同意 02/03 18:49;
已同意 | 单玮-13816935059-督导部 已同意 02/03 19:35;
已抄送 | 卢家豪 已抄送 02/03 19:35;
已抄送 | 抖音&amp;快手-周幂-17521714387 已抄送 02/03 19:35;
已同意 | 苏磊 已同意 02/03 21:14;
已抄送 | 翁嘉隆-线上运营总监-13611699917 已抄送 02/03 21:14</v>
      </c>
    </row>
    <row r="127" customHeight="1" spans="1:11">
      <c r="A127" s="14" t="s">
        <v>49</v>
      </c>
      <c r="B127" s="5">
        <v>2345</v>
      </c>
      <c r="C127" s="5" t="s">
        <v>17</v>
      </c>
      <c r="D127" s="5" t="s">
        <v>17</v>
      </c>
      <c r="E127" s="5" t="s">
        <v>196</v>
      </c>
      <c r="F127" s="24" t="s">
        <v>197</v>
      </c>
      <c r="G127" s="23">
        <v>46056</v>
      </c>
      <c r="H127" s="16" t="s">
        <v>14</v>
      </c>
      <c r="I127" s="5" t="s">
        <v>15</v>
      </c>
      <c r="J127" t="s">
        <v>73</v>
      </c>
      <c r="K127" s="2" t="str">
        <f>VLOOKUP(B127,[1]线上建店审批明细!$A:$E,5,0)</f>
        <v>已抄送 | 线上督导服务号-如有异议请联系区域经理（此账号不做回复） 已抄送 01/31 17:33;
已抄送 | 谢芳 已抄送 01/31 17:33;
已抄送 | 线上督导-鹿世鸣-督导部 已抄送 01/31 17:33;
已同意 | 贺龙娇 已同意 02/02 15:00;
已同意 | 杨文慧 已同意 02/02 15:02;
已同意 | 施工监理-范钟欣-13817733545 已同意 02/02 15:07;
已同意 | 王伟清 已同意 02/02 16:56;
已同意 | 刘崇宇-18616022203-督导部 已同意 02/02 17:57;
已同意 | 蔡文佳-18916500662-线下运营部 已同意 02/03 18:58;
已同意 | 线下堂食助理-婷婷 已同意 02/03 19:01;
已同意 | 单玮-13816935059-督导部 已同意 02/03 19:16;
已抄送 | 卢家豪 已抄送 02/03 19:16;
已抄送 | 抖音&amp;快手-周幂-17521714387 已抄送 02/03 19:16;
已同意 | 苏磊 已同意 02/03 21:14;
已抄送 | 翁嘉隆-线上运营总监-13611699917 已抄送 02/03 21:14</v>
      </c>
    </row>
    <row r="128" customHeight="1" spans="1:11">
      <c r="A128" s="10" t="s">
        <v>25</v>
      </c>
      <c r="B128" s="5">
        <v>2554</v>
      </c>
      <c r="C128" s="16" t="s">
        <v>36</v>
      </c>
      <c r="D128" s="16" t="s">
        <v>27</v>
      </c>
      <c r="E128" s="16" t="s">
        <v>198</v>
      </c>
      <c r="F128" s="20" t="s">
        <v>199</v>
      </c>
      <c r="G128" s="7">
        <v>46056</v>
      </c>
      <c r="H128" s="5" t="s">
        <v>14</v>
      </c>
      <c r="I128" s="5" t="s">
        <v>15</v>
      </c>
      <c r="J128" t="s">
        <v>73</v>
      </c>
      <c r="K128" s="2" t="str">
        <f>VLOOKUP(B128,[1]线上建店审批明细!$A:$E,5,0)</f>
        <v>已抄送 | 线上督导服务号-如有异议请联系区域经理（此账号不做回复） 已抄送 02/01 11:24;
已抄送 | 谢芳 已抄送 02/01 11:24;
已抄送 | 线上督导-鹿世鸣-督导部 已抄送 02/01 11:24;
已转审 | 贺龙娇 已转审 02/02 14:57;
已同意 | 李婕 已同意 02/02 19:53;
已同意 | 杨文慧 已同意 02/02 19:57;
已同意 | 施工监理-范钟欣-13817733545 已同意 02/03 09:21;
已同意 | 王伟清 已同意 02/03 09:21;
已同意 | 刘崇宇-18616022203-督导部 已同意 02/03 15:25;
已同意 | 蔡文佳-18916500662-线下运营部 已同意 02/04 18:53;
已同意 | 线下堂食助理-婷婷 已同意 02/04 18:56;
已同意 | 单玮-13816935059-督导部 已同意 02/04 19:52;
已抄送 | 卢家豪 已抄送 02/04 19:52;
已抄送 | 抖音&amp;快手-周幂-17521714387 已抄送 02/04 19:52;
已同意 | 苏磊 已同意 02/05 09:35;
已抄送 | 翁嘉隆-线上运营总监-13611699917 已抄送 02/05 09:35</v>
      </c>
    </row>
    <row r="129" customHeight="1" spans="1:11">
      <c r="A129" s="18" t="s">
        <v>121</v>
      </c>
      <c r="B129" s="5">
        <v>1891</v>
      </c>
      <c r="C129" s="5" t="s">
        <v>50</v>
      </c>
      <c r="D129" s="5" t="s">
        <v>108</v>
      </c>
      <c r="E129" s="5" t="s">
        <v>200</v>
      </c>
      <c r="F129" s="20" t="s">
        <v>192</v>
      </c>
      <c r="G129" s="7">
        <v>46056</v>
      </c>
      <c r="H129" s="5" t="s">
        <v>14</v>
      </c>
      <c r="I129" s="5" t="s">
        <v>15</v>
      </c>
      <c r="J129" t="s">
        <v>73</v>
      </c>
      <c r="K129" s="2" t="str">
        <f>VLOOKUP(B129,[1]线上建店审批明细!$A:$E,5,0)</f>
        <v>已抄送 | 线上督导服务号-如有异议请联系区域经理（此账号不做回复） 已抄送 02/03 16:18;
已抄送 | 谢芳 已抄送 02/03 16:18;
已抄送 | 线上督导-鹿世鸣-督导部 已抄送 02/03 16:18;
已同意 | 贺龙娇 收到电子签门店信息确认涵 已同意 02/04 15:44;
已同意 | 杨文慧 已同意 02/04 15:49;
已同意 | 施工监理-范钟欣-13817733545 已同意 02/04 15:50;
已同意 | 王伟清 已同意 02/04 16:12;
已同意 | 刘崇宇-18616022203-督导部 已同意 02/05 14:57;
已同意 | 蔡文佳-18916500662-线下运营部 已同意 02/05 15:10;
已同意 | 线下堂食助理-婷婷 已同意 02/05 15:20;
已同意 | 单玮-13816935059-督导部 已同意 02/05 17:00;
已抄送 | 卢家豪 已抄送 02/05 17:00;
已抄送 | 抖音&amp;快手-周幂-17521714387 已抄送 02/05 17:00;
已同意 | 苏磊 已同意 02/05 17:02;
已抄送 | 翁嘉隆-线上运营总监-13611699917 已抄送 02/05 17:02</v>
      </c>
    </row>
    <row r="130" customHeight="1" spans="1:11">
      <c r="A130" s="9" t="s">
        <v>20</v>
      </c>
      <c r="B130" s="5">
        <v>2572</v>
      </c>
      <c r="C130" s="5" t="s">
        <v>32</v>
      </c>
      <c r="D130" s="5" t="s">
        <v>61</v>
      </c>
      <c r="E130" s="5" t="s">
        <v>201</v>
      </c>
      <c r="F130" s="20" t="s">
        <v>202</v>
      </c>
      <c r="G130" s="7">
        <v>46056</v>
      </c>
      <c r="H130" s="5" t="s">
        <v>14</v>
      </c>
      <c r="I130" s="5" t="s">
        <v>15</v>
      </c>
      <c r="J130" t="s">
        <v>73</v>
      </c>
      <c r="K130" s="2" t="str">
        <f>VLOOKUP(B130,[1]线上建店审批明细!$A:$E,5,0)</f>
        <v>已抄送 | 线上督导服务号-如有异议请联系区域经理（此账号不做回复） 已抄送 02/04 12:14;
已抄送 | 谢芳 已抄送 02/04 12:14;
已抄送 | 线上督导-鹿世鸣-督导部 已抄送 02/04 12:14;
已同意 | 李婕 已同意 02/04 12:18;
已同意 | 杨文慧 已同意 02/04 12:22;
已同意 | 施工监理-范钟欣-13817733545 已同意 02/05 09:44;
已同意 | 王伟清 已同意 02/05 10:06;
已同意 | 刘崇宇-18616022203-督导部 已同意 02/05 14:55;
已同意 | 蔡文佳-18916500662-线下运营部 已同意 02/05 15:17;
已同意 | 线下堂食助理-婷婷 已同意 02/05 15:21;
已同意 | 单玮-13816935059-督导部 已同意 02/05 16:53;
已抄送 | 卢家豪 已抄送 02/05 16:53;
已抄送 | 抖音&amp;快手-周幂-17521714387 已抄送 02/05 16:53;
已同意 | 苏磊 已同意 02/05 16:53;
已抄送 | 翁嘉隆-线上运营总监-13611699917 已抄送 02/05 16:53</v>
      </c>
    </row>
    <row r="131" customHeight="1" spans="1:11">
      <c r="A131" s="8" t="s">
        <v>16</v>
      </c>
      <c r="B131" s="5">
        <v>2558</v>
      </c>
      <c r="C131" s="5" t="s">
        <v>26</v>
      </c>
      <c r="D131" s="5" t="s">
        <v>82</v>
      </c>
      <c r="E131" s="5" t="s">
        <v>203</v>
      </c>
      <c r="F131" s="20" t="s">
        <v>202</v>
      </c>
      <c r="G131" s="7">
        <v>46057</v>
      </c>
      <c r="H131" s="5" t="s">
        <v>14</v>
      </c>
      <c r="I131" s="5"/>
      <c r="J131" t="s">
        <v>73</v>
      </c>
      <c r="K131" s="2" t="str">
        <f>VLOOKUP(B131,[1]线上建店审批明细!$A:$E,5,0)</f>
        <v>已抄送 | 线上督导服务号-如有异议请联系区域经理（此账号不做回复） 已抄送 02/02 17:57;
已抄送 | 谢芳 已抄送 02/02 17:57;
已抄送 | 线上督导-鹿世鸣-督导部 已抄送 02/02 17:57;
已同意 | 贺龙娇 已同意 02/02 18:21;
已同意 | 杨文慧 已同意 02/02 18:25;
已同意 | 施工监理-范钟欣-13817733545 已同意 02/04 10:02;
已同意 | 王伟清 已同意 02/04 10:03;
已同意 | 刘崇宇-18616022203-督导部 已同意 02/04 18:11</v>
      </c>
    </row>
    <row r="132" customHeight="1" spans="1:11">
      <c r="A132" s="14" t="s">
        <v>49</v>
      </c>
      <c r="B132" s="5">
        <v>2250</v>
      </c>
      <c r="C132" s="5" t="s">
        <v>17</v>
      </c>
      <c r="D132" s="5" t="s">
        <v>17</v>
      </c>
      <c r="E132" s="5" t="s">
        <v>204</v>
      </c>
      <c r="F132" s="25" t="s">
        <v>205</v>
      </c>
      <c r="G132" s="7">
        <v>46057</v>
      </c>
      <c r="H132" s="5" t="s">
        <v>14</v>
      </c>
      <c r="I132" s="5"/>
      <c r="J132" t="s">
        <v>73</v>
      </c>
      <c r="K132" s="2" t="str">
        <f>VLOOKUP(B132,[1]线上建店审批明细!$A:$E,5,0)</f>
        <v>已抄送 | 线上督导服务号-如有异议请联系区域经理（此账号不做回复） 已抄送 02/01 16:46;
已抄送 | 谢芳 已抄送 02/01 16:46;
已抄送 | 线上督导-鹿世鸣-督导部 已抄送 02/01 16:46;
已同意 | 贺龙娇 已同意 02/02 14:53;
已同意 | 杨文慧 已同意 02/02 15:01;
已同意 | 施工监理-范钟欣-13817733545 已同意 02/04 15:01;
已同意 | 王伟清 已同意 02/04 15:01;
已同意 | 刘崇宇-18616022203-督导部 已同意 02/04 18:10</v>
      </c>
    </row>
    <row r="133" customHeight="1" spans="1:11">
      <c r="A133" s="21" t="s">
        <v>29</v>
      </c>
      <c r="B133" s="5">
        <v>2616</v>
      </c>
      <c r="C133" s="16" t="s">
        <v>21</v>
      </c>
      <c r="D133" s="16" t="s">
        <v>22</v>
      </c>
      <c r="E133" s="16" t="s">
        <v>206</v>
      </c>
      <c r="F133" s="20" t="s">
        <v>184</v>
      </c>
      <c r="G133" s="7">
        <v>46058</v>
      </c>
      <c r="H133" s="5"/>
      <c r="I133" s="5"/>
    </row>
    <row r="134" customHeight="1" spans="1:11">
      <c r="A134" s="14" t="s">
        <v>49</v>
      </c>
      <c r="B134" s="5">
        <v>2518</v>
      </c>
      <c r="C134" s="5" t="s">
        <v>50</v>
      </c>
      <c r="D134" s="5" t="s">
        <v>51</v>
      </c>
      <c r="E134" s="5" t="s">
        <v>207</v>
      </c>
      <c r="F134" s="20" t="s">
        <v>205</v>
      </c>
      <c r="G134" s="7">
        <v>46058</v>
      </c>
      <c r="H134" s="5" t="s">
        <v>14</v>
      </c>
      <c r="I134" s="16"/>
      <c r="J134" t="s">
        <v>73</v>
      </c>
      <c r="K134" s="2" t="str">
        <f>VLOOKUP(B134,[1]线上建店审批明细!$A:$E,5,0)</f>
        <v>已抄送 | 线上督导服务号-如有异议请联系区域经理（此账号不做回复） 已抄送 02/01 16:49;
已抄送 | 谢芳 已抄送 02/01 16:49;
已抄送 | 线上督导-鹿世鸣-督导部 已抄送 02/01 16:49;
已同意 | 贺龙娇 已同意 02/02 14:52;
已同意 | 杨文慧 已同意 02/02 15:01;
已同意 | 施工监理-范钟欣-13817733545 已同意 02/05 14:22;
已同意 | 王伟清 已同意 02/05 14:34;
已同意 | 刘崇宇-18616022203-督导部 已同意 02/05 14:54</v>
      </c>
    </row>
    <row r="135" customHeight="1" spans="1:11">
      <c r="A135" s="12" t="s">
        <v>11</v>
      </c>
      <c r="B135" s="5">
        <v>2373</v>
      </c>
      <c r="C135" s="5" t="s">
        <v>17</v>
      </c>
      <c r="D135" s="5" t="s">
        <v>17</v>
      </c>
      <c r="E135" s="5" t="s">
        <v>208</v>
      </c>
      <c r="F135" s="20" t="s">
        <v>202</v>
      </c>
      <c r="G135" s="23">
        <v>46059</v>
      </c>
      <c r="H135" s="5"/>
      <c r="I135" s="5"/>
    </row>
    <row r="136" customHeight="1" spans="1:11">
      <c r="A136" s="4" t="s">
        <v>11</v>
      </c>
      <c r="B136" s="5">
        <v>2547</v>
      </c>
      <c r="C136" s="5" t="s">
        <v>97</v>
      </c>
      <c r="D136" s="5" t="s">
        <v>98</v>
      </c>
      <c r="E136" s="5" t="s">
        <v>209</v>
      </c>
      <c r="F136" s="20" t="s">
        <v>202</v>
      </c>
      <c r="G136" s="7">
        <v>46059</v>
      </c>
      <c r="H136" s="5"/>
      <c r="I136" s="5"/>
    </row>
    <row r="137" customHeight="1" spans="1:11">
      <c r="A137" s="8" t="s">
        <v>16</v>
      </c>
      <c r="B137" s="5">
        <v>2522</v>
      </c>
      <c r="C137" s="5" t="s">
        <v>26</v>
      </c>
      <c r="D137" s="5" t="s">
        <v>82</v>
      </c>
      <c r="E137" s="5" t="s">
        <v>210</v>
      </c>
      <c r="F137" s="20" t="s">
        <v>202</v>
      </c>
      <c r="G137" s="7">
        <v>46060</v>
      </c>
      <c r="H137" s="5" t="s">
        <v>14</v>
      </c>
      <c r="I137" s="5"/>
      <c r="J137" t="s">
        <v>73</v>
      </c>
      <c r="K137" s="2" t="str">
        <f>VLOOKUP(B137,[1]线上建店审批明细!$A:$E,5,0)</f>
        <v>已抄送 | 线上督导服务号-如有异议请联系区域经理（此账号不做回复） 已抄送 02/02 17:58;
已抄送 | 谢芳 已抄送 02/02 17:58;
已抄送 | 线上督导-鹿世鸣-督导部 已抄送 02/02 17:58;
已同意 | 贺龙娇 已同意 02/02 18:21;
已同意 | 杨文慧 已同意 02/02 18:25</v>
      </c>
    </row>
    <row r="138" customHeight="1" spans="1:11">
      <c r="A138" s="12" t="s">
        <v>11</v>
      </c>
      <c r="B138" s="5">
        <v>2482</v>
      </c>
      <c r="C138" s="5" t="s">
        <v>50</v>
      </c>
      <c r="D138" s="5" t="s">
        <v>211</v>
      </c>
      <c r="E138" s="5" t="s">
        <v>212</v>
      </c>
      <c r="F138" s="20" t="s">
        <v>213</v>
      </c>
      <c r="G138" s="23">
        <v>46060</v>
      </c>
      <c r="H138" s="5"/>
      <c r="I138" s="5"/>
    </row>
    <row r="139" customHeight="1" spans="1:11">
      <c r="A139" s="18" t="s">
        <v>121</v>
      </c>
      <c r="B139" s="5">
        <v>2440</v>
      </c>
      <c r="C139" s="5" t="s">
        <v>17</v>
      </c>
      <c r="D139" s="5" t="s">
        <v>17</v>
      </c>
      <c r="E139" s="5" t="s">
        <v>214</v>
      </c>
      <c r="F139" s="20" t="s">
        <v>184</v>
      </c>
      <c r="G139" s="5"/>
      <c r="H139" s="5"/>
      <c r="I139" s="5"/>
    </row>
    <row r="140" customHeight="1" spans="1:11">
      <c r="A140" s="9" t="s">
        <v>20</v>
      </c>
      <c r="B140" s="5">
        <v>2589</v>
      </c>
      <c r="C140" s="5" t="s">
        <v>32</v>
      </c>
      <c r="D140" s="5" t="s">
        <v>215</v>
      </c>
      <c r="E140" s="5" t="s">
        <v>216</v>
      </c>
      <c r="F140" s="20" t="s">
        <v>197</v>
      </c>
      <c r="G140" s="5" t="s">
        <v>213</v>
      </c>
      <c r="H140" s="5"/>
      <c r="I140" s="5"/>
    </row>
    <row r="141" customHeight="1" spans="1:11">
      <c r="A141" s="9" t="s">
        <v>20</v>
      </c>
      <c r="B141" s="5">
        <v>2350</v>
      </c>
      <c r="C141" s="5" t="s">
        <v>21</v>
      </c>
      <c r="D141" s="5" t="s">
        <v>22</v>
      </c>
      <c r="E141" s="5" t="s">
        <v>217</v>
      </c>
      <c r="F141" s="20" t="s">
        <v>199</v>
      </c>
      <c r="G141" s="5" t="s">
        <v>218</v>
      </c>
      <c r="H141" s="5"/>
      <c r="I141" s="5"/>
    </row>
    <row r="142" customHeight="1" spans="1:11">
      <c r="A142" s="11" t="s">
        <v>29</v>
      </c>
      <c r="B142" s="5">
        <v>2512</v>
      </c>
      <c r="C142" s="5" t="s">
        <v>21</v>
      </c>
      <c r="D142" s="5" t="s">
        <v>219</v>
      </c>
      <c r="E142" s="5" t="s">
        <v>220</v>
      </c>
      <c r="F142" s="20" t="s">
        <v>199</v>
      </c>
      <c r="G142" s="5"/>
      <c r="H142" s="5"/>
      <c r="I142" s="5"/>
    </row>
    <row r="143" customHeight="1" spans="1:11">
      <c r="A143" s="11" t="s">
        <v>29</v>
      </c>
      <c r="B143" s="5">
        <v>2423</v>
      </c>
      <c r="C143" s="5" t="s">
        <v>26</v>
      </c>
      <c r="D143" s="5" t="s">
        <v>27</v>
      </c>
      <c r="E143" s="26" t="s">
        <v>221</v>
      </c>
      <c r="F143" s="20" t="s">
        <v>202</v>
      </c>
      <c r="G143" s="5"/>
      <c r="H143" s="5"/>
      <c r="I143" s="5"/>
    </row>
    <row r="144" customHeight="1" spans="1:11">
      <c r="A144" s="11" t="s">
        <v>29</v>
      </c>
      <c r="B144" s="5">
        <v>2526</v>
      </c>
      <c r="C144" s="5" t="s">
        <v>21</v>
      </c>
      <c r="D144" s="5" t="s">
        <v>30</v>
      </c>
      <c r="E144" s="5" t="s">
        <v>222</v>
      </c>
      <c r="F144" s="20" t="s">
        <v>202</v>
      </c>
      <c r="G144" s="5"/>
      <c r="H144" s="5"/>
      <c r="I144" s="5"/>
    </row>
    <row r="145" customHeight="1" spans="1:11">
      <c r="A145" s="9" t="s">
        <v>20</v>
      </c>
      <c r="B145" s="5">
        <v>2620</v>
      </c>
      <c r="C145" s="16" t="s">
        <v>32</v>
      </c>
      <c r="D145" s="16" t="s">
        <v>61</v>
      </c>
      <c r="E145" s="16" t="s">
        <v>223</v>
      </c>
      <c r="F145" s="20" t="s">
        <v>224</v>
      </c>
      <c r="G145" s="5" t="s">
        <v>205</v>
      </c>
      <c r="H145" s="5"/>
      <c r="I145" s="5"/>
    </row>
    <row r="146" customHeight="1" spans="1:11">
      <c r="A146" s="14" t="s">
        <v>49</v>
      </c>
      <c r="B146" s="5">
        <v>2530</v>
      </c>
      <c r="C146" s="5" t="s">
        <v>50</v>
      </c>
      <c r="D146" s="5" t="s">
        <v>51</v>
      </c>
      <c r="E146" s="5" t="s">
        <v>225</v>
      </c>
      <c r="F146" s="20" t="s">
        <v>224</v>
      </c>
      <c r="G146" s="5" t="s">
        <v>226</v>
      </c>
      <c r="H146" s="16"/>
      <c r="I146" s="5"/>
    </row>
    <row r="147" customHeight="1" spans="1:11">
      <c r="A147" s="13" t="s">
        <v>42</v>
      </c>
      <c r="B147" s="5">
        <v>2441</v>
      </c>
      <c r="C147" s="5" t="s">
        <v>50</v>
      </c>
      <c r="D147" s="5" t="s">
        <v>93</v>
      </c>
      <c r="E147" s="5" t="s">
        <v>227</v>
      </c>
      <c r="F147" s="20" t="s">
        <v>218</v>
      </c>
      <c r="G147" s="5"/>
      <c r="H147" s="5" t="s">
        <v>14</v>
      </c>
      <c r="I147" s="5"/>
      <c r="J147" t="s">
        <v>73</v>
      </c>
      <c r="K147" s="2" t="str">
        <f>VLOOKUP(B147,[1]线上建店审批明细!$A:$E,5,0)</f>
        <v>已抄送 | 线上督导服务号-如有异议请联系区域经理（此账号不做回复） 已抄送 01/30 10:42;
已抄送 | 谢芳 已抄送 01/30 10:42;
已抄送 | 线上督导-鹿世鸣-督导部 已抄送 01/30 10:42;
已同意 | 贺龙娇 已同意 01/30 13:42;
已同意 | 杨文慧 已同意 01/30 13:51</v>
      </c>
    </row>
    <row r="148" customHeight="1" spans="1:11">
      <c r="A148" s="13" t="s">
        <v>42</v>
      </c>
      <c r="B148" s="5">
        <v>2632</v>
      </c>
      <c r="C148" s="16" t="s">
        <v>97</v>
      </c>
      <c r="D148" s="16" t="s">
        <v>136</v>
      </c>
      <c r="E148" s="16" t="s">
        <v>228</v>
      </c>
      <c r="F148" s="20" t="s">
        <v>218</v>
      </c>
      <c r="G148" s="5"/>
      <c r="H148" s="5"/>
      <c r="I148" s="5"/>
    </row>
    <row r="149" customHeight="1" spans="1:11">
      <c r="A149" s="27" t="s">
        <v>42</v>
      </c>
      <c r="B149" s="5">
        <v>2615</v>
      </c>
      <c r="C149" s="16" t="s">
        <v>21</v>
      </c>
      <c r="D149" s="16" t="s">
        <v>43</v>
      </c>
      <c r="E149" s="16" t="s">
        <v>229</v>
      </c>
      <c r="F149" s="20" t="s">
        <v>205</v>
      </c>
      <c r="G149" s="5"/>
      <c r="H149" s="5" t="s">
        <v>14</v>
      </c>
      <c r="I149" s="5"/>
      <c r="J149" t="s">
        <v>73</v>
      </c>
      <c r="K149" s="2" t="str">
        <f>VLOOKUP(B149,[1]线上建店审批明细!$A:$E,5,0)</f>
        <v>已抄送 | 线上督导服务号-如有异议请联系区域经理（此账号不做回复） 已抄送 01/30 14:51;
已抄送 | 谢芳 已抄送 01/30 14:51;
已抄送 | 线上督导-鹿世鸣-督导部 已抄送 01/30 14:51;
已同意 | 贺龙娇 已同意 01/30 15:27;
已同意 | 杨文慧 已同意 01/30 15:39</v>
      </c>
    </row>
    <row r="150" customHeight="1" spans="1:11">
      <c r="A150" s="9" t="s">
        <v>20</v>
      </c>
      <c r="B150" s="5">
        <v>2544</v>
      </c>
      <c r="C150" s="5" t="s">
        <v>32</v>
      </c>
      <c r="D150" s="5" t="s">
        <v>215</v>
      </c>
      <c r="E150" s="5" t="s">
        <v>230</v>
      </c>
      <c r="F150" s="20" t="s">
        <v>213</v>
      </c>
      <c r="G150" s="7"/>
      <c r="H150" s="5"/>
      <c r="I150" s="5"/>
    </row>
    <row r="151" customHeight="1" spans="1:11">
      <c r="A151" s="21" t="s">
        <v>29</v>
      </c>
      <c r="B151" s="5">
        <v>2627</v>
      </c>
      <c r="C151" s="16" t="s">
        <v>21</v>
      </c>
      <c r="D151" s="16" t="s">
        <v>47</v>
      </c>
      <c r="E151" s="16" t="s">
        <v>231</v>
      </c>
      <c r="F151" s="20" t="s">
        <v>213</v>
      </c>
      <c r="G151" s="5"/>
      <c r="H151" s="5"/>
      <c r="I151" s="5"/>
    </row>
    <row r="152" customHeight="1" spans="1:11">
      <c r="A152" s="10" t="s">
        <v>25</v>
      </c>
      <c r="B152" s="5">
        <v>2611</v>
      </c>
      <c r="C152" s="16" t="s">
        <v>36</v>
      </c>
      <c r="D152" s="16" t="s">
        <v>27</v>
      </c>
      <c r="E152" s="16" t="s">
        <v>232</v>
      </c>
      <c r="F152" s="20" t="s">
        <v>213</v>
      </c>
      <c r="G152" s="5"/>
      <c r="H152" s="5"/>
      <c r="I152" s="5"/>
    </row>
    <row r="153" customHeight="1" spans="1:11">
      <c r="A153" s="21" t="s">
        <v>29</v>
      </c>
      <c r="B153" s="5">
        <v>2622</v>
      </c>
      <c r="C153" s="16" t="s">
        <v>21</v>
      </c>
      <c r="D153" s="16" t="s">
        <v>43</v>
      </c>
      <c r="E153" s="28" t="s">
        <v>233</v>
      </c>
      <c r="F153" s="20" t="s">
        <v>213</v>
      </c>
      <c r="G153" s="5"/>
      <c r="H153" s="5"/>
      <c r="I153" s="5"/>
    </row>
    <row r="154" customHeight="1" spans="1:11">
      <c r="A154" s="18" t="s">
        <v>121</v>
      </c>
      <c r="B154" s="29">
        <v>2550</v>
      </c>
      <c r="C154" s="5" t="s">
        <v>36</v>
      </c>
      <c r="D154" s="5" t="s">
        <v>45</v>
      </c>
      <c r="E154" s="5" t="s">
        <v>234</v>
      </c>
      <c r="F154" s="20" t="s">
        <v>213</v>
      </c>
      <c r="G154" s="5"/>
      <c r="H154" s="5"/>
      <c r="I154" s="5"/>
    </row>
    <row r="155" customHeight="1" spans="1:11">
      <c r="A155" s="21" t="s">
        <v>29</v>
      </c>
      <c r="B155" s="5">
        <v>2625</v>
      </c>
      <c r="C155" s="16" t="s">
        <v>21</v>
      </c>
      <c r="D155" s="16" t="s">
        <v>67</v>
      </c>
      <c r="E155" s="16" t="s">
        <v>235</v>
      </c>
      <c r="F155" s="20" t="s">
        <v>213</v>
      </c>
      <c r="G155" s="5"/>
      <c r="H155" s="5"/>
      <c r="I155" s="5"/>
    </row>
    <row r="156" customHeight="1" spans="1:11">
      <c r="A156" s="4" t="s">
        <v>11</v>
      </c>
      <c r="B156" s="5">
        <v>2492</v>
      </c>
      <c r="C156" s="5" t="s">
        <v>50</v>
      </c>
      <c r="D156" s="5" t="s">
        <v>93</v>
      </c>
      <c r="E156" s="5" t="s">
        <v>236</v>
      </c>
      <c r="F156" s="20" t="s">
        <v>213</v>
      </c>
      <c r="G156" s="5"/>
      <c r="H156" s="5"/>
      <c r="I156" s="5"/>
    </row>
    <row r="157" customHeight="1" spans="1:11">
      <c r="A157" s="14" t="s">
        <v>49</v>
      </c>
      <c r="B157" s="5">
        <v>2509</v>
      </c>
      <c r="C157" s="5" t="s">
        <v>50</v>
      </c>
      <c r="D157" s="5" t="s">
        <v>51</v>
      </c>
      <c r="E157" s="5" t="s">
        <v>237</v>
      </c>
      <c r="F157" s="20" t="s">
        <v>238</v>
      </c>
      <c r="G157" s="16"/>
      <c r="H157" s="5" t="s">
        <v>14</v>
      </c>
      <c r="I157" s="5"/>
      <c r="J157" t="s">
        <v>73</v>
      </c>
      <c r="K157" s="2" t="str">
        <f>VLOOKUP(B157,[1]线上建店审批明细!$A:$E,5,0)</f>
        <v>已抄送 | 线上督导服务号-如有异议请联系区域经理（此账号不做回复） 已抄送 02/02 13:50;
已抄送 | 谢芳 已抄送 02/02 13:50;
已抄送 | 线上督导-鹿世鸣-督导部 已抄送 02/02 13:50;
已同意 | 贺龙娇 已同意 02/02 14:47;
已同意 | 杨文慧 已同意 02/02 15:02</v>
      </c>
    </row>
    <row r="158" customHeight="1" spans="1:11">
      <c r="A158" s="10" t="s">
        <v>25</v>
      </c>
      <c r="B158" s="5">
        <v>2629</v>
      </c>
      <c r="C158" s="16" t="s">
        <v>36</v>
      </c>
      <c r="D158" s="16" t="s">
        <v>27</v>
      </c>
      <c r="E158" s="16" t="s">
        <v>239</v>
      </c>
      <c r="F158" s="20" t="s">
        <v>238</v>
      </c>
      <c r="G158" s="5"/>
      <c r="H158" s="5"/>
      <c r="I158" s="5"/>
    </row>
    <row r="159" customHeight="1" spans="1:11">
      <c r="A159" s="4" t="s">
        <v>11</v>
      </c>
      <c r="B159" s="5">
        <v>2457</v>
      </c>
      <c r="C159" s="5" t="s">
        <v>12</v>
      </c>
      <c r="D159" s="5" t="s">
        <v>12</v>
      </c>
      <c r="E159" s="26" t="s">
        <v>240</v>
      </c>
      <c r="F159" s="20" t="s">
        <v>238</v>
      </c>
      <c r="G159" s="5"/>
      <c r="H159" s="5"/>
      <c r="I159" s="5"/>
    </row>
    <row r="160" customHeight="1" spans="1:11">
      <c r="A160" s="12" t="s">
        <v>11</v>
      </c>
      <c r="B160" s="5">
        <v>2552</v>
      </c>
      <c r="C160" s="5" t="s">
        <v>50</v>
      </c>
      <c r="D160" s="5" t="s">
        <v>119</v>
      </c>
      <c r="E160" s="5" t="s">
        <v>241</v>
      </c>
      <c r="F160" s="5" t="s">
        <v>242</v>
      </c>
      <c r="G160" s="30"/>
      <c r="H160" s="5"/>
      <c r="I160" s="5"/>
    </row>
    <row r="161" customHeight="1" spans="1:11">
      <c r="A161" s="10" t="s">
        <v>25</v>
      </c>
      <c r="B161" s="5">
        <v>2090</v>
      </c>
      <c r="C161" s="16" t="s">
        <v>36</v>
      </c>
      <c r="D161" s="16" t="s">
        <v>53</v>
      </c>
      <c r="E161" s="16" t="s">
        <v>243</v>
      </c>
      <c r="F161" s="5" t="s">
        <v>244</v>
      </c>
      <c r="G161" s="16"/>
      <c r="H161" s="5"/>
      <c r="I161" s="5"/>
    </row>
    <row r="162" customHeight="1" spans="1:11">
      <c r="A162" s="11" t="s">
        <v>29</v>
      </c>
      <c r="B162" s="5">
        <v>2451</v>
      </c>
      <c r="C162" s="5" t="s">
        <v>245</v>
      </c>
      <c r="D162" s="5" t="s">
        <v>245</v>
      </c>
      <c r="E162" s="26" t="s">
        <v>246</v>
      </c>
      <c r="F162" s="5" t="s">
        <v>244</v>
      </c>
      <c r="G162" s="16"/>
      <c r="H162" s="5"/>
      <c r="I162" s="5"/>
    </row>
    <row r="163" customHeight="1" spans="1:11">
      <c r="A163" s="14" t="s">
        <v>49</v>
      </c>
      <c r="B163" s="5">
        <v>2444</v>
      </c>
      <c r="C163" s="16" t="s">
        <v>12</v>
      </c>
      <c r="D163" s="16" t="s">
        <v>12</v>
      </c>
      <c r="E163" s="16" t="s">
        <v>247</v>
      </c>
      <c r="F163" s="5" t="s">
        <v>244</v>
      </c>
      <c r="G163" s="16"/>
      <c r="H163" s="5" t="s">
        <v>14</v>
      </c>
      <c r="I163" s="5"/>
      <c r="J163" t="s">
        <v>73</v>
      </c>
      <c r="K163" s="2" t="str">
        <f>VLOOKUP(B163,[1]线上建店审批明细!$A:$E,5,0)</f>
        <v>已抄送 | 线上督导服务号-如有异议请联系区域经理（此账号不做回复） 已抄送 02/01 17:50;
已抄送 | 谢芳 已抄送 02/01 17:50;
已抄送 | 线上督导-鹿世鸣-督导部 已抄送 02/01 17:50;
已同意 | 贺龙娇 已同意 02/02 14:51;
已同意 | 杨文慧 已同意 02/02 15:01</v>
      </c>
    </row>
    <row r="164" customHeight="1" spans="1:11">
      <c r="A164" s="8" t="s">
        <v>16</v>
      </c>
      <c r="B164" s="5">
        <v>2283</v>
      </c>
      <c r="C164" s="5" t="s">
        <v>18</v>
      </c>
      <c r="D164" s="5" t="s">
        <v>18</v>
      </c>
      <c r="E164" s="5" t="s">
        <v>248</v>
      </c>
      <c r="F164" s="31" t="s">
        <v>249</v>
      </c>
      <c r="G164" s="5"/>
      <c r="H164" s="5"/>
      <c r="I164" s="5"/>
    </row>
    <row r="165" customHeight="1" spans="1:11">
      <c r="A165" s="15" t="s">
        <v>16</v>
      </c>
      <c r="B165" s="5">
        <v>2438</v>
      </c>
      <c r="C165" s="5" t="s">
        <v>36</v>
      </c>
      <c r="D165" s="5" t="s">
        <v>27</v>
      </c>
      <c r="E165" s="5" t="s">
        <v>250</v>
      </c>
      <c r="F165" s="5" t="s">
        <v>249</v>
      </c>
      <c r="G165" s="5"/>
      <c r="H165" s="5"/>
      <c r="I165" s="5"/>
    </row>
    <row r="166" customHeight="1" spans="1:11">
      <c r="A166" s="12" t="s">
        <v>11</v>
      </c>
      <c r="B166" s="5">
        <v>2000</v>
      </c>
      <c r="C166" s="5" t="s">
        <v>32</v>
      </c>
      <c r="D166" s="5" t="s">
        <v>33</v>
      </c>
      <c r="E166" s="5" t="s">
        <v>251</v>
      </c>
      <c r="F166" s="5" t="s">
        <v>252</v>
      </c>
      <c r="G166" s="16"/>
      <c r="H166" s="32"/>
      <c r="I166" s="5"/>
    </row>
    <row r="167" customHeight="1" spans="1:11">
      <c r="A167" s="9" t="s">
        <v>20</v>
      </c>
      <c r="B167" s="5">
        <v>2005</v>
      </c>
      <c r="C167" s="5" t="s">
        <v>32</v>
      </c>
      <c r="D167" s="5" t="s">
        <v>215</v>
      </c>
      <c r="E167" s="5" t="s">
        <v>253</v>
      </c>
      <c r="F167" s="5" t="s">
        <v>252</v>
      </c>
      <c r="G167" s="16"/>
      <c r="H167" s="5"/>
      <c r="I167" s="5"/>
    </row>
    <row r="168" customHeight="1" spans="1:11">
      <c r="A168" s="4" t="s">
        <v>11</v>
      </c>
      <c r="B168" s="5">
        <v>2380</v>
      </c>
      <c r="C168" s="5" t="s">
        <v>97</v>
      </c>
      <c r="D168" s="5" t="s">
        <v>98</v>
      </c>
      <c r="E168" s="5" t="s">
        <v>254</v>
      </c>
      <c r="F168" s="5" t="s">
        <v>226</v>
      </c>
      <c r="G168" s="16"/>
      <c r="H168" s="5"/>
      <c r="I168" s="5"/>
    </row>
    <row r="169" customHeight="1" spans="1:11">
      <c r="A169" s="4" t="s">
        <v>11</v>
      </c>
      <c r="B169" s="29">
        <v>2609</v>
      </c>
      <c r="C169" s="5" t="s">
        <v>12</v>
      </c>
      <c r="D169" s="5" t="s">
        <v>12</v>
      </c>
      <c r="E169" s="5" t="s">
        <v>255</v>
      </c>
      <c r="F169" s="5" t="s">
        <v>226</v>
      </c>
      <c r="G169" s="16"/>
      <c r="H169" s="5"/>
      <c r="I169" s="5"/>
    </row>
    <row r="170" customHeight="1" spans="1:11">
      <c r="A170" s="10" t="s">
        <v>25</v>
      </c>
      <c r="B170" s="5">
        <v>2531</v>
      </c>
      <c r="C170" s="16" t="s">
        <v>36</v>
      </c>
      <c r="D170" s="16" t="s">
        <v>27</v>
      </c>
      <c r="E170" s="16" t="s">
        <v>256</v>
      </c>
      <c r="F170" s="5" t="s">
        <v>226</v>
      </c>
      <c r="G170" s="16"/>
      <c r="H170" s="5"/>
      <c r="I170" s="5"/>
    </row>
    <row r="171" customHeight="1" spans="1:11">
      <c r="A171" s="21" t="s">
        <v>29</v>
      </c>
      <c r="B171" s="29">
        <v>2596</v>
      </c>
      <c r="C171" s="5" t="s">
        <v>21</v>
      </c>
      <c r="D171" s="5" t="s">
        <v>47</v>
      </c>
      <c r="E171" s="5" t="s">
        <v>257</v>
      </c>
      <c r="F171" s="5" t="s">
        <v>258</v>
      </c>
      <c r="G171" s="16"/>
      <c r="H171" s="5"/>
      <c r="I171" s="5"/>
    </row>
    <row r="172" customHeight="1" spans="1:11">
      <c r="A172" s="10" t="s">
        <v>25</v>
      </c>
      <c r="B172" s="29">
        <v>2519</v>
      </c>
      <c r="C172" s="5" t="s">
        <v>36</v>
      </c>
      <c r="D172" s="5" t="s">
        <v>27</v>
      </c>
      <c r="E172" s="5" t="s">
        <v>259</v>
      </c>
      <c r="F172" s="5" t="s">
        <v>258</v>
      </c>
      <c r="G172" s="16"/>
      <c r="H172" s="5"/>
      <c r="I172" s="5"/>
    </row>
    <row r="173" customHeight="1" spans="1:11">
      <c r="A173" s="4" t="s">
        <v>11</v>
      </c>
      <c r="B173" s="29">
        <v>2566</v>
      </c>
      <c r="C173" s="5" t="s">
        <v>50</v>
      </c>
      <c r="D173" s="5" t="s">
        <v>93</v>
      </c>
      <c r="E173" s="5" t="s">
        <v>260</v>
      </c>
      <c r="F173" s="5" t="s">
        <v>261</v>
      </c>
      <c r="G173" s="16"/>
      <c r="H173" s="5"/>
      <c r="I173" s="5"/>
    </row>
    <row r="174" customHeight="1" spans="1:11">
      <c r="A174" s="10" t="s">
        <v>25</v>
      </c>
      <c r="B174" s="5">
        <v>2480</v>
      </c>
      <c r="C174" s="5" t="s">
        <v>36</v>
      </c>
      <c r="D174" s="5" t="s">
        <v>27</v>
      </c>
      <c r="E174" s="5" t="s">
        <v>262</v>
      </c>
      <c r="F174" s="5" t="s">
        <v>261</v>
      </c>
      <c r="G174" s="5"/>
      <c r="H174" s="5"/>
      <c r="I174" s="5"/>
    </row>
    <row r="175" customHeight="1" spans="1:11">
      <c r="A175" s="10" t="s">
        <v>25</v>
      </c>
      <c r="B175" s="5">
        <v>2543</v>
      </c>
      <c r="C175" s="5" t="s">
        <v>36</v>
      </c>
      <c r="D175" s="5" t="s">
        <v>27</v>
      </c>
      <c r="E175" s="5" t="s">
        <v>263</v>
      </c>
      <c r="F175" s="5" t="s">
        <v>264</v>
      </c>
      <c r="G175" s="5"/>
      <c r="H175" s="5"/>
      <c r="I175" s="5"/>
    </row>
    <row r="176" customHeight="1" spans="1:11">
      <c r="A176" s="8" t="s">
        <v>16</v>
      </c>
      <c r="B176" s="5">
        <v>2583</v>
      </c>
      <c r="C176" s="5" t="s">
        <v>26</v>
      </c>
      <c r="D176" s="5" t="s">
        <v>27</v>
      </c>
      <c r="E176" s="5" t="s">
        <v>265</v>
      </c>
      <c r="F176" s="5" t="s">
        <v>264</v>
      </c>
      <c r="G176" s="5"/>
      <c r="H176" s="5"/>
      <c r="I176" s="5"/>
    </row>
    <row r="177" customHeight="1" spans="1:11">
      <c r="A177" s="10" t="s">
        <v>25</v>
      </c>
      <c r="B177" s="5">
        <v>2486</v>
      </c>
      <c r="C177" s="5" t="s">
        <v>36</v>
      </c>
      <c r="D177" s="5" t="s">
        <v>27</v>
      </c>
      <c r="E177" s="5" t="s">
        <v>266</v>
      </c>
      <c r="F177" s="5" t="s">
        <v>264</v>
      </c>
      <c r="G177" s="5"/>
      <c r="H177" s="5"/>
      <c r="I177" s="5"/>
    </row>
    <row r="178" customHeight="1" spans="1:11">
      <c r="A178" s="9" t="s">
        <v>20</v>
      </c>
      <c r="B178" s="5">
        <v>2384</v>
      </c>
      <c r="C178" s="5" t="s">
        <v>32</v>
      </c>
      <c r="D178" s="5" t="s">
        <v>33</v>
      </c>
      <c r="E178" s="5" t="s">
        <v>267</v>
      </c>
      <c r="F178" s="5" t="s">
        <v>268</v>
      </c>
      <c r="G178" s="16"/>
      <c r="H178" s="5"/>
      <c r="I178" s="5"/>
    </row>
    <row r="179" customHeight="1" spans="1:11">
      <c r="A179" s="9" t="s">
        <v>20</v>
      </c>
      <c r="B179" s="5">
        <v>2511</v>
      </c>
      <c r="C179" s="5" t="s">
        <v>32</v>
      </c>
      <c r="D179" s="5" t="s">
        <v>39</v>
      </c>
      <c r="E179" s="5" t="s">
        <v>269</v>
      </c>
      <c r="F179" s="16" t="s">
        <v>268</v>
      </c>
      <c r="G179" s="16"/>
      <c r="H179" s="5"/>
      <c r="I179" s="5"/>
    </row>
    <row r="180" customHeight="1" spans="1:11">
      <c r="A180" s="9" t="s">
        <v>20</v>
      </c>
      <c r="B180" s="5">
        <v>2535</v>
      </c>
      <c r="C180" s="16" t="s">
        <v>32</v>
      </c>
      <c r="D180" s="16" t="s">
        <v>215</v>
      </c>
      <c r="E180" s="16" t="s">
        <v>270</v>
      </c>
      <c r="F180" s="5" t="s">
        <v>268</v>
      </c>
      <c r="G180" s="16"/>
      <c r="H180" s="5"/>
      <c r="I180" s="5"/>
    </row>
    <row r="181" customHeight="1" spans="1:11">
      <c r="A181" s="14" t="s">
        <v>49</v>
      </c>
      <c r="B181" s="5">
        <v>2383</v>
      </c>
      <c r="C181" s="5" t="s">
        <v>50</v>
      </c>
      <c r="D181" s="5" t="s">
        <v>51</v>
      </c>
      <c r="E181" s="5" t="s">
        <v>271</v>
      </c>
      <c r="F181" s="21" t="s">
        <v>268</v>
      </c>
      <c r="G181" s="16"/>
      <c r="H181" s="5"/>
      <c r="I181" s="5"/>
    </row>
    <row r="182" customHeight="1" spans="1:11">
      <c r="A182" s="14" t="s">
        <v>49</v>
      </c>
      <c r="B182" s="29">
        <v>2603</v>
      </c>
      <c r="C182" s="5" t="s">
        <v>50</v>
      </c>
      <c r="D182" s="5" t="s">
        <v>108</v>
      </c>
      <c r="E182" s="5" t="s">
        <v>272</v>
      </c>
      <c r="F182" s="5" t="s">
        <v>268</v>
      </c>
      <c r="G182" s="5"/>
      <c r="H182" s="5"/>
      <c r="I182" s="5"/>
    </row>
    <row r="183" customHeight="1" spans="1:11">
      <c r="A183" s="14" t="s">
        <v>49</v>
      </c>
      <c r="B183" s="5">
        <v>2604</v>
      </c>
      <c r="C183" s="16" t="s">
        <v>50</v>
      </c>
      <c r="D183" s="16" t="s">
        <v>51</v>
      </c>
      <c r="E183" s="16" t="s">
        <v>273</v>
      </c>
      <c r="F183" s="5" t="s">
        <v>268</v>
      </c>
      <c r="G183" s="5"/>
      <c r="H183" s="5"/>
      <c r="I183" s="5"/>
    </row>
    <row r="184" customHeight="1" spans="1:11">
      <c r="A184" s="13" t="s">
        <v>42</v>
      </c>
      <c r="B184" s="5">
        <v>2568</v>
      </c>
      <c r="C184" s="5" t="s">
        <v>245</v>
      </c>
      <c r="D184" s="5" t="s">
        <v>245</v>
      </c>
      <c r="E184" s="5" t="s">
        <v>274</v>
      </c>
      <c r="F184" s="5" t="s">
        <v>268</v>
      </c>
      <c r="G184" s="5"/>
      <c r="H184" s="5"/>
      <c r="I184" s="5"/>
    </row>
    <row r="185" customHeight="1" spans="1:11">
      <c r="A185" s="21" t="s">
        <v>29</v>
      </c>
      <c r="B185" s="5">
        <v>2656</v>
      </c>
      <c r="C185" s="16"/>
      <c r="D185" s="16" t="s">
        <v>43</v>
      </c>
      <c r="E185" s="16" t="s">
        <v>275</v>
      </c>
      <c r="F185" s="5" t="s">
        <v>276</v>
      </c>
      <c r="G185" s="5"/>
      <c r="H185" s="5"/>
      <c r="I185" s="5"/>
    </row>
    <row r="186" customHeight="1" spans="1:11">
      <c r="A186" s="21" t="s">
        <v>29</v>
      </c>
      <c r="B186" s="5">
        <v>2418</v>
      </c>
      <c r="C186" s="16" t="s">
        <v>21</v>
      </c>
      <c r="D186" s="16" t="s">
        <v>22</v>
      </c>
      <c r="E186" s="16" t="s">
        <v>277</v>
      </c>
      <c r="F186" s="5" t="s">
        <v>276</v>
      </c>
      <c r="G186" s="5"/>
      <c r="H186" s="5" t="s">
        <v>14</v>
      </c>
      <c r="I186" s="5" t="s">
        <v>15</v>
      </c>
      <c r="J186" t="s">
        <v>73</v>
      </c>
      <c r="K186" s="2" t="str">
        <f>VLOOKUP(B186,[1]线上建店审批明细!$A:$E,5,0)</f>
        <v>已抄送 | 线上督导服务号-如有异议请联系区域经理（此账号不做回复） 已抄送 02/03 16:14;
已抄送 | 谢芳 已抄送 02/03 16:14;
已抄送 | 线上督导-鹿世鸣-督导部 已抄送 02/03 16:14;
已转审 | 贺龙娇 已转审 02/03 18:09;
已同意 | 李婕 已同意 02/03 18:57;
已同意 | 杨文慧 已同意 02/03 18:59;
已同意 | 施工监理-范钟欣-13817733545 已同意 02/06 09:34;
已同意 | 王伟清 已同意 02/06 09:39;
已同意 | 刘崇宇-18616022203-督导部 已同意 02/06 13:39</v>
      </c>
    </row>
    <row r="187" customHeight="1" spans="1:11">
      <c r="A187" s="21" t="s">
        <v>29</v>
      </c>
      <c r="B187" s="5">
        <v>2515</v>
      </c>
      <c r="C187" s="5" t="s">
        <v>21</v>
      </c>
      <c r="D187" s="5" t="s">
        <v>67</v>
      </c>
      <c r="E187" s="5" t="s">
        <v>278</v>
      </c>
      <c r="F187" s="5" t="s">
        <v>276</v>
      </c>
      <c r="G187" s="5"/>
      <c r="H187" s="5"/>
      <c r="I187" s="5"/>
    </row>
    <row r="188" customHeight="1" spans="1:11">
      <c r="A188" s="10" t="s">
        <v>25</v>
      </c>
      <c r="B188" s="5">
        <v>2561</v>
      </c>
      <c r="C188" s="5" t="s">
        <v>36</v>
      </c>
      <c r="D188" s="5" t="s">
        <v>53</v>
      </c>
      <c r="E188" s="5" t="s">
        <v>279</v>
      </c>
      <c r="F188" s="5" t="s">
        <v>280</v>
      </c>
      <c r="G188" s="5"/>
      <c r="H188" s="5"/>
      <c r="I188" s="5"/>
    </row>
    <row r="189" customHeight="1" spans="1:11">
      <c r="A189" s="10" t="s">
        <v>25</v>
      </c>
      <c r="B189" s="5">
        <v>2605</v>
      </c>
      <c r="C189" s="16" t="s">
        <v>36</v>
      </c>
      <c r="D189" s="16" t="s">
        <v>27</v>
      </c>
      <c r="E189" s="16" t="s">
        <v>281</v>
      </c>
      <c r="F189" s="5" t="s">
        <v>280</v>
      </c>
      <c r="G189" s="5"/>
      <c r="H189" s="5"/>
      <c r="I189" s="5"/>
    </row>
    <row r="190" customHeight="1" spans="1:11">
      <c r="A190" s="10" t="s">
        <v>25</v>
      </c>
      <c r="B190" s="5">
        <v>2564</v>
      </c>
      <c r="C190" s="16" t="s">
        <v>36</v>
      </c>
      <c r="D190" s="16" t="s">
        <v>27</v>
      </c>
      <c r="E190" s="16" t="s">
        <v>282</v>
      </c>
      <c r="F190" s="7" t="s">
        <v>280</v>
      </c>
      <c r="G190" s="5"/>
      <c r="H190" s="5"/>
      <c r="I190" s="5"/>
    </row>
    <row r="191" customHeight="1" spans="1:11">
      <c r="A191" s="10" t="s">
        <v>25</v>
      </c>
      <c r="B191" s="29">
        <v>2608</v>
      </c>
      <c r="C191" s="5" t="s">
        <v>36</v>
      </c>
      <c r="D191" s="5" t="s">
        <v>27</v>
      </c>
      <c r="E191" s="5" t="s">
        <v>283</v>
      </c>
      <c r="F191" s="7" t="s">
        <v>280</v>
      </c>
      <c r="G191" s="5"/>
      <c r="H191" s="5"/>
      <c r="I191" s="5"/>
    </row>
    <row r="192" customHeight="1" spans="1:11">
      <c r="A192" s="21" t="s">
        <v>29</v>
      </c>
      <c r="B192" s="5">
        <v>2621</v>
      </c>
      <c r="C192" s="16" t="s">
        <v>21</v>
      </c>
      <c r="D192" s="16" t="s">
        <v>22</v>
      </c>
      <c r="E192" s="16" t="s">
        <v>284</v>
      </c>
      <c r="F192" s="5" t="s">
        <v>285</v>
      </c>
      <c r="G192" s="5"/>
      <c r="H192" s="5"/>
      <c r="I192" s="5"/>
    </row>
    <row r="193" customHeight="1" spans="1:9">
      <c r="A193" s="9" t="s">
        <v>20</v>
      </c>
      <c r="B193" s="5">
        <v>2508</v>
      </c>
      <c r="C193" s="16" t="s">
        <v>32</v>
      </c>
      <c r="D193" s="16" t="s">
        <v>33</v>
      </c>
      <c r="E193" s="16" t="s">
        <v>286</v>
      </c>
      <c r="F193" s="5" t="s">
        <v>285</v>
      </c>
      <c r="G193" s="5"/>
      <c r="H193" s="5"/>
      <c r="I193" s="5"/>
    </row>
    <row r="194" customHeight="1" spans="1:9">
      <c r="A194" s="9" t="s">
        <v>20</v>
      </c>
      <c r="B194" s="5">
        <v>2628</v>
      </c>
      <c r="C194" s="16" t="s">
        <v>32</v>
      </c>
      <c r="D194" s="16" t="s">
        <v>33</v>
      </c>
      <c r="E194" s="16" t="s">
        <v>287</v>
      </c>
      <c r="F194" s="5" t="s">
        <v>285</v>
      </c>
      <c r="G194" s="5"/>
      <c r="H194" s="5"/>
      <c r="I194" s="5"/>
    </row>
    <row r="195" customHeight="1" spans="1:9">
      <c r="A195" s="12" t="s">
        <v>11</v>
      </c>
      <c r="B195" s="5">
        <v>2478</v>
      </c>
      <c r="C195" s="5" t="s">
        <v>32</v>
      </c>
      <c r="D195" s="5" t="s">
        <v>33</v>
      </c>
      <c r="E195" s="5" t="s">
        <v>288</v>
      </c>
      <c r="F195" s="5" t="s">
        <v>289</v>
      </c>
      <c r="G195" s="5"/>
      <c r="H195" s="5"/>
      <c r="I195" s="5"/>
    </row>
    <row r="196" customHeight="1" spans="1:9">
      <c r="A196" s="21" t="s">
        <v>29</v>
      </c>
      <c r="B196" s="29">
        <v>2610</v>
      </c>
      <c r="C196" s="5" t="s">
        <v>21</v>
      </c>
      <c r="D196" s="5" t="s">
        <v>47</v>
      </c>
      <c r="E196" s="5" t="s">
        <v>290</v>
      </c>
      <c r="F196" s="5" t="s">
        <v>291</v>
      </c>
      <c r="G196" s="5"/>
      <c r="H196" s="5"/>
      <c r="I196" s="5"/>
    </row>
    <row r="197" customHeight="1" spans="1:9">
      <c r="A197" s="9" t="s">
        <v>20</v>
      </c>
      <c r="B197" s="5">
        <v>2640</v>
      </c>
      <c r="C197" s="5" t="s">
        <v>32</v>
      </c>
      <c r="D197" s="5" t="s">
        <v>215</v>
      </c>
      <c r="E197" s="5" t="s">
        <v>292</v>
      </c>
      <c r="F197" s="5" t="s">
        <v>291</v>
      </c>
      <c r="G197" s="5"/>
      <c r="H197" s="5"/>
      <c r="I197" s="5"/>
    </row>
    <row r="198" customHeight="1" spans="1:9">
      <c r="A198" s="9" t="s">
        <v>20</v>
      </c>
      <c r="B198" s="5">
        <v>2634</v>
      </c>
      <c r="C198" s="16" t="s">
        <v>32</v>
      </c>
      <c r="D198" s="16" t="s">
        <v>215</v>
      </c>
      <c r="E198" s="16" t="s">
        <v>293</v>
      </c>
      <c r="F198" s="5" t="s">
        <v>291</v>
      </c>
      <c r="G198" s="5"/>
      <c r="H198" s="5"/>
      <c r="I198" s="5"/>
    </row>
    <row r="199" customHeight="1" spans="1:9">
      <c r="A199" s="15" t="s">
        <v>16</v>
      </c>
      <c r="B199" s="5">
        <v>1465</v>
      </c>
      <c r="C199" s="5" t="s">
        <v>36</v>
      </c>
      <c r="D199" s="5" t="s">
        <v>27</v>
      </c>
      <c r="E199" s="5" t="s">
        <v>294</v>
      </c>
      <c r="F199" s="5" t="s">
        <v>295</v>
      </c>
      <c r="G199" s="5"/>
      <c r="H199" s="5"/>
      <c r="I199" s="5"/>
    </row>
    <row r="200" customHeight="1" spans="1:9">
      <c r="A200" s="15" t="s">
        <v>16</v>
      </c>
      <c r="B200" s="5">
        <v>1621</v>
      </c>
      <c r="C200" s="5" t="s">
        <v>36</v>
      </c>
      <c r="D200" s="5" t="s">
        <v>27</v>
      </c>
      <c r="E200" s="5" t="s">
        <v>296</v>
      </c>
      <c r="F200" s="16" t="s">
        <v>295</v>
      </c>
      <c r="G200" s="5"/>
      <c r="H200" s="16"/>
      <c r="I200" s="5"/>
    </row>
    <row r="201" customHeight="1" spans="1:9">
      <c r="A201" s="4" t="s">
        <v>11</v>
      </c>
      <c r="B201" s="5">
        <v>2487</v>
      </c>
      <c r="C201" s="5" t="s">
        <v>12</v>
      </c>
      <c r="D201" s="5" t="s">
        <v>12</v>
      </c>
      <c r="E201" s="5" t="s">
        <v>297</v>
      </c>
      <c r="F201" s="5" t="s">
        <v>295</v>
      </c>
      <c r="G201" s="5"/>
      <c r="H201" s="5"/>
      <c r="I201" s="5"/>
    </row>
    <row r="202" customHeight="1" spans="1:9">
      <c r="A202" s="8" t="s">
        <v>16</v>
      </c>
      <c r="B202" s="5">
        <v>1761</v>
      </c>
      <c r="C202" s="5" t="s">
        <v>26</v>
      </c>
      <c r="D202" s="5" t="s">
        <v>82</v>
      </c>
      <c r="E202" s="5" t="s">
        <v>298</v>
      </c>
      <c r="F202" s="16" t="s">
        <v>295</v>
      </c>
      <c r="G202" s="5"/>
      <c r="H202" s="16"/>
      <c r="I202" s="5"/>
    </row>
    <row r="203" customHeight="1" spans="1:9">
      <c r="A203" s="8" t="s">
        <v>16</v>
      </c>
      <c r="B203" s="5">
        <v>1548</v>
      </c>
      <c r="C203" s="5" t="s">
        <v>26</v>
      </c>
      <c r="D203" s="5" t="s">
        <v>82</v>
      </c>
      <c r="E203" s="5" t="s">
        <v>299</v>
      </c>
      <c r="F203" s="5" t="s">
        <v>295</v>
      </c>
      <c r="G203" s="5"/>
      <c r="H203" s="5"/>
      <c r="I203" s="5"/>
    </row>
    <row r="204" customHeight="1" spans="1:9">
      <c r="A204" s="18" t="s">
        <v>121</v>
      </c>
      <c r="B204" s="29">
        <v>2536</v>
      </c>
      <c r="C204" s="5" t="s">
        <v>17</v>
      </c>
      <c r="D204" s="5" t="s">
        <v>17</v>
      </c>
      <c r="E204" s="5" t="s">
        <v>300</v>
      </c>
      <c r="F204" s="5" t="s">
        <v>295</v>
      </c>
      <c r="G204" s="7"/>
      <c r="H204" s="5"/>
      <c r="I204" s="5"/>
    </row>
    <row r="205" customHeight="1" spans="1:9">
      <c r="A205" s="8" t="s">
        <v>16</v>
      </c>
      <c r="B205" s="5">
        <v>2461</v>
      </c>
      <c r="C205" s="5" t="s">
        <v>26</v>
      </c>
      <c r="D205" s="5" t="s">
        <v>82</v>
      </c>
      <c r="E205" s="5" t="s">
        <v>301</v>
      </c>
      <c r="F205" s="21" t="s">
        <v>295</v>
      </c>
      <c r="G205" s="5"/>
      <c r="H205" s="5"/>
      <c r="I205" s="5"/>
    </row>
    <row r="206" customHeight="1" spans="1:9">
      <c r="A206" s="10" t="s">
        <v>25</v>
      </c>
      <c r="B206" s="5">
        <v>1515</v>
      </c>
      <c r="C206" s="5" t="s">
        <v>26</v>
      </c>
      <c r="D206" s="5" t="s">
        <v>27</v>
      </c>
      <c r="E206" s="5" t="s">
        <v>302</v>
      </c>
      <c r="F206" s="5" t="s">
        <v>295</v>
      </c>
      <c r="G206" s="5"/>
      <c r="H206" s="5"/>
      <c r="I206" s="5"/>
    </row>
    <row r="207" customHeight="1" spans="1:9">
      <c r="A207" s="10" t="s">
        <v>25</v>
      </c>
      <c r="B207" s="5">
        <v>2557</v>
      </c>
      <c r="C207" s="16" t="s">
        <v>36</v>
      </c>
      <c r="D207" s="16" t="s">
        <v>27</v>
      </c>
      <c r="E207" s="16" t="s">
        <v>303</v>
      </c>
      <c r="F207" s="5" t="s">
        <v>295</v>
      </c>
      <c r="G207" s="5"/>
      <c r="H207" s="5"/>
      <c r="I207" s="5"/>
    </row>
    <row r="208" customHeight="1" spans="1:9">
      <c r="A208" s="8" t="s">
        <v>16</v>
      </c>
      <c r="B208" s="5">
        <v>2582</v>
      </c>
      <c r="C208" s="16" t="s">
        <v>26</v>
      </c>
      <c r="D208" s="16" t="s">
        <v>27</v>
      </c>
      <c r="E208" s="16" t="s">
        <v>304</v>
      </c>
      <c r="F208" s="5" t="s">
        <v>295</v>
      </c>
      <c r="G208" s="5"/>
      <c r="H208" s="5"/>
      <c r="I208" s="5"/>
    </row>
    <row r="209" customHeight="1" spans="1:9">
      <c r="A209" s="8" t="s">
        <v>16</v>
      </c>
      <c r="B209" s="5">
        <v>2593</v>
      </c>
      <c r="C209" s="16" t="s">
        <v>26</v>
      </c>
      <c r="D209" s="16" t="s">
        <v>27</v>
      </c>
      <c r="E209" s="16" t="s">
        <v>305</v>
      </c>
      <c r="F209" s="5" t="s">
        <v>295</v>
      </c>
      <c r="G209" s="5"/>
      <c r="H209" s="5"/>
      <c r="I209" s="5"/>
    </row>
    <row r="210" customHeight="1" spans="1:9">
      <c r="A210" s="18" t="s">
        <v>121</v>
      </c>
      <c r="B210" s="5">
        <v>2456</v>
      </c>
      <c r="C210" s="16" t="s">
        <v>17</v>
      </c>
      <c r="D210" s="16" t="s">
        <v>17</v>
      </c>
      <c r="E210" s="16" t="s">
        <v>306</v>
      </c>
      <c r="F210" s="5" t="s">
        <v>295</v>
      </c>
      <c r="G210" s="16"/>
      <c r="H210" s="5"/>
      <c r="I210" s="5"/>
    </row>
    <row r="211" customHeight="1" spans="1:9">
      <c r="A211" s="18" t="s">
        <v>121</v>
      </c>
      <c r="B211" s="5">
        <v>2556</v>
      </c>
      <c r="C211" s="5" t="s">
        <v>21</v>
      </c>
      <c r="D211" s="5" t="s">
        <v>67</v>
      </c>
      <c r="E211" s="5" t="s">
        <v>307</v>
      </c>
      <c r="F211" s="5" t="s">
        <v>295</v>
      </c>
      <c r="G211" s="16"/>
      <c r="H211" s="5"/>
      <c r="I211" s="5"/>
    </row>
    <row r="212" customHeight="1" spans="1:9">
      <c r="A212" s="8" t="s">
        <v>16</v>
      </c>
      <c r="B212" s="33">
        <v>1717</v>
      </c>
      <c r="C212" s="5" t="s">
        <v>26</v>
      </c>
      <c r="D212" s="5" t="s">
        <v>27</v>
      </c>
      <c r="E212" s="5" t="s">
        <v>308</v>
      </c>
      <c r="F212" s="5" t="s">
        <v>295</v>
      </c>
      <c r="G212" s="5"/>
      <c r="H212" s="5"/>
      <c r="I212" s="5"/>
    </row>
    <row r="213" customHeight="1" spans="1:9">
      <c r="A213" s="10" t="s">
        <v>25</v>
      </c>
      <c r="B213" s="5">
        <v>2633</v>
      </c>
      <c r="C213" s="16" t="s">
        <v>36</v>
      </c>
      <c r="D213" s="16" t="s">
        <v>27</v>
      </c>
      <c r="E213" s="16" t="s">
        <v>309</v>
      </c>
      <c r="F213" s="5" t="s">
        <v>295</v>
      </c>
      <c r="G213" s="5"/>
      <c r="H213" s="5"/>
      <c r="I213" s="5"/>
    </row>
    <row r="214" customHeight="1" spans="1:9">
      <c r="A214" s="18" t="s">
        <v>121</v>
      </c>
      <c r="B214" s="5">
        <v>1300</v>
      </c>
      <c r="C214" s="5" t="s">
        <v>50</v>
      </c>
      <c r="D214" s="5" t="s">
        <v>108</v>
      </c>
      <c r="E214" s="5" t="s">
        <v>310</v>
      </c>
      <c r="F214" s="5" t="s">
        <v>295</v>
      </c>
      <c r="G214" s="16"/>
      <c r="H214" s="5"/>
      <c r="I214" s="5"/>
    </row>
    <row r="215" customHeight="1" spans="1:9">
      <c r="A215" s="5" t="s">
        <v>11</v>
      </c>
      <c r="B215" s="10">
        <v>2391</v>
      </c>
      <c r="C215" s="10" t="s">
        <v>50</v>
      </c>
      <c r="D215" s="10" t="s">
        <v>93</v>
      </c>
      <c r="E215" s="10" t="s">
        <v>311</v>
      </c>
      <c r="F215" s="5" t="s">
        <v>295</v>
      </c>
      <c r="G215" s="5"/>
      <c r="H215" s="5"/>
      <c r="I215" s="5"/>
    </row>
    <row r="216" customHeight="1" spans="1:9">
      <c r="A216" s="18" t="s">
        <v>121</v>
      </c>
      <c r="B216" s="34">
        <v>2562</v>
      </c>
      <c r="C216" s="5" t="s">
        <v>21</v>
      </c>
      <c r="D216" s="5" t="s">
        <v>67</v>
      </c>
      <c r="E216" s="5" t="s">
        <v>312</v>
      </c>
      <c r="F216" s="5" t="s">
        <v>295</v>
      </c>
      <c r="G216" s="16"/>
      <c r="H216" s="5"/>
      <c r="I216" s="5"/>
    </row>
    <row r="217" customHeight="1" spans="1:9">
      <c r="A217" s="12" t="s">
        <v>11</v>
      </c>
      <c r="B217" s="5">
        <v>2614</v>
      </c>
      <c r="C217" s="16" t="s">
        <v>50</v>
      </c>
      <c r="D217" s="16" t="s">
        <v>119</v>
      </c>
      <c r="E217" s="16" t="s">
        <v>313</v>
      </c>
      <c r="F217" s="5" t="s">
        <v>295</v>
      </c>
      <c r="G217" s="5"/>
      <c r="H217" s="5"/>
      <c r="I217" s="5"/>
    </row>
    <row r="218" customHeight="1" spans="1:9">
      <c r="A218" s="18" t="s">
        <v>121</v>
      </c>
      <c r="B218" s="5">
        <v>2606</v>
      </c>
      <c r="C218" s="16" t="s">
        <v>17</v>
      </c>
      <c r="D218" s="16" t="s">
        <v>17</v>
      </c>
      <c r="E218" s="16" t="s">
        <v>314</v>
      </c>
      <c r="F218" s="5" t="s">
        <v>295</v>
      </c>
      <c r="G218" s="16"/>
      <c r="H218" s="5"/>
      <c r="I218" s="5"/>
    </row>
    <row r="219" customHeight="1" spans="1:9">
      <c r="A219" s="10" t="s">
        <v>25</v>
      </c>
      <c r="B219" s="5">
        <v>2571</v>
      </c>
      <c r="C219" s="16" t="s">
        <v>36</v>
      </c>
      <c r="D219" s="16" t="s">
        <v>27</v>
      </c>
      <c r="E219" s="16" t="s">
        <v>315</v>
      </c>
      <c r="F219" s="5" t="s">
        <v>295</v>
      </c>
      <c r="G219" s="5"/>
      <c r="H219" s="5"/>
      <c r="I219" s="5"/>
    </row>
    <row r="220" customHeight="1" spans="1:9">
      <c r="A220" s="8" t="s">
        <v>16</v>
      </c>
      <c r="B220" s="5">
        <v>2613</v>
      </c>
      <c r="C220" s="16" t="s">
        <v>26</v>
      </c>
      <c r="D220" s="16" t="s">
        <v>27</v>
      </c>
      <c r="E220" s="16" t="s">
        <v>316</v>
      </c>
      <c r="F220" s="5" t="s">
        <v>295</v>
      </c>
      <c r="G220" s="16"/>
      <c r="H220" s="5"/>
      <c r="I220" s="5"/>
    </row>
    <row r="221" customHeight="1" spans="1:9">
      <c r="A221" s="12" t="s">
        <v>11</v>
      </c>
      <c r="B221" s="5">
        <v>2639</v>
      </c>
      <c r="C221" s="5" t="s">
        <v>50</v>
      </c>
      <c r="D221" s="5" t="s">
        <v>108</v>
      </c>
      <c r="E221" s="5" t="s">
        <v>317</v>
      </c>
      <c r="F221" s="5" t="s">
        <v>295</v>
      </c>
      <c r="G221" s="5"/>
      <c r="H221" s="5"/>
      <c r="I221" s="5"/>
    </row>
    <row r="222" customHeight="1" spans="1:9">
      <c r="A222" s="35" t="s">
        <v>16</v>
      </c>
      <c r="B222" s="5">
        <v>2496</v>
      </c>
      <c r="C222" s="5" t="s">
        <v>36</v>
      </c>
      <c r="D222" s="5" t="s">
        <v>27</v>
      </c>
      <c r="E222" s="5" t="s">
        <v>318</v>
      </c>
      <c r="F222" s="5" t="s">
        <v>295</v>
      </c>
      <c r="G222" s="16"/>
      <c r="H222" s="5"/>
      <c r="I222" s="5"/>
    </row>
    <row r="223" customHeight="1" spans="1:9">
      <c r="A223" s="14" t="s">
        <v>49</v>
      </c>
      <c r="B223" s="5">
        <v>2626</v>
      </c>
      <c r="C223" s="16" t="s">
        <v>50</v>
      </c>
      <c r="D223" s="16" t="s">
        <v>108</v>
      </c>
      <c r="E223" s="16" t="s">
        <v>319</v>
      </c>
      <c r="F223" s="5" t="s">
        <v>295</v>
      </c>
      <c r="G223" s="5"/>
      <c r="H223" s="5"/>
      <c r="I223" s="5"/>
    </row>
    <row r="224" customHeight="1" spans="1:9">
      <c r="A224" s="18" t="s">
        <v>121</v>
      </c>
      <c r="B224" s="5">
        <v>2657</v>
      </c>
      <c r="C224" s="16"/>
      <c r="D224" s="16" t="s">
        <v>17</v>
      </c>
      <c r="E224" s="16" t="s">
        <v>320</v>
      </c>
      <c r="F224" s="5" t="s">
        <v>295</v>
      </c>
      <c r="G224" s="5"/>
      <c r="H224" s="5"/>
      <c r="I224" s="5"/>
    </row>
    <row r="225" customHeight="1" spans="1:9">
      <c r="A225" s="12" t="s">
        <v>11</v>
      </c>
      <c r="B225" s="33">
        <v>2645</v>
      </c>
      <c r="C225" s="5" t="s">
        <v>50</v>
      </c>
      <c r="D225" s="5" t="s">
        <v>108</v>
      </c>
      <c r="E225" s="5" t="s">
        <v>321</v>
      </c>
      <c r="F225" s="5" t="s">
        <v>295</v>
      </c>
      <c r="G225" s="5"/>
      <c r="H225" s="5"/>
      <c r="I225" s="5"/>
    </row>
    <row r="226" customHeight="1" spans="1:9">
      <c r="A226" s="21" t="s">
        <v>29</v>
      </c>
      <c r="B226" s="5">
        <v>2642</v>
      </c>
      <c r="C226" s="5" t="s">
        <v>21</v>
      </c>
      <c r="D226" s="5" t="s">
        <v>43</v>
      </c>
      <c r="E226" s="5" t="s">
        <v>322</v>
      </c>
      <c r="F226" s="5" t="s">
        <v>323</v>
      </c>
      <c r="G226" s="5"/>
      <c r="H226" s="5"/>
      <c r="I226" s="5"/>
    </row>
    <row r="227" customHeight="1" spans="1:9">
      <c r="A227" s="21" t="s">
        <v>29</v>
      </c>
      <c r="B227" s="5">
        <v>2644</v>
      </c>
      <c r="C227" s="16"/>
      <c r="D227" s="16" t="s">
        <v>47</v>
      </c>
      <c r="E227" s="16" t="s">
        <v>324</v>
      </c>
      <c r="F227" s="5" t="s">
        <v>323</v>
      </c>
      <c r="G227" s="5"/>
      <c r="H227" s="5"/>
      <c r="I227" s="5"/>
    </row>
    <row r="228" customHeight="1" spans="1:9">
      <c r="A228" s="11" t="s">
        <v>29</v>
      </c>
      <c r="B228" s="5">
        <v>2523</v>
      </c>
      <c r="C228" s="5" t="s">
        <v>21</v>
      </c>
      <c r="D228" s="5" t="s">
        <v>219</v>
      </c>
      <c r="E228" s="5" t="s">
        <v>325</v>
      </c>
      <c r="F228" s="5" t="s">
        <v>323</v>
      </c>
      <c r="G228" s="5"/>
      <c r="H228" s="5"/>
      <c r="I228" s="5"/>
    </row>
    <row r="229" customHeight="1" spans="1:9">
      <c r="A229" s="27" t="s">
        <v>42</v>
      </c>
      <c r="B229" s="5">
        <v>1599</v>
      </c>
      <c r="C229" s="5" t="s">
        <v>245</v>
      </c>
      <c r="D229" s="5" t="s">
        <v>245</v>
      </c>
      <c r="E229" s="5" t="s">
        <v>326</v>
      </c>
      <c r="F229" s="5" t="s">
        <v>323</v>
      </c>
      <c r="G229" s="5"/>
      <c r="H229" s="5"/>
      <c r="I229" s="5"/>
    </row>
    <row r="230" customHeight="1" spans="1:9">
      <c r="A230" s="9" t="s">
        <v>20</v>
      </c>
      <c r="B230" s="5">
        <v>2584</v>
      </c>
      <c r="C230" s="16" t="s">
        <v>32</v>
      </c>
      <c r="D230" s="16" t="s">
        <v>33</v>
      </c>
      <c r="E230" s="16" t="s">
        <v>327</v>
      </c>
      <c r="F230" s="5" t="s">
        <v>328</v>
      </c>
      <c r="G230" s="5"/>
      <c r="H230" s="5"/>
      <c r="I230" s="5"/>
    </row>
    <row r="231" customHeight="1" spans="1:9">
      <c r="A231" s="9" t="s">
        <v>20</v>
      </c>
      <c r="B231" s="5">
        <v>2601</v>
      </c>
      <c r="C231" s="16" t="s">
        <v>32</v>
      </c>
      <c r="D231" s="16" t="s">
        <v>215</v>
      </c>
      <c r="E231" s="16" t="s">
        <v>329</v>
      </c>
      <c r="F231" s="5" t="s">
        <v>330</v>
      </c>
      <c r="G231" s="5"/>
      <c r="H231" s="5"/>
      <c r="I231" s="5"/>
    </row>
    <row r="232" customHeight="1" spans="1:9">
      <c r="A232" s="9" t="s">
        <v>20</v>
      </c>
      <c r="B232" s="5">
        <v>2643</v>
      </c>
      <c r="C232" s="16"/>
      <c r="D232" s="16" t="s">
        <v>215</v>
      </c>
      <c r="E232" s="16" t="s">
        <v>331</v>
      </c>
      <c r="F232" s="5" t="s">
        <v>332</v>
      </c>
      <c r="G232" s="5"/>
      <c r="H232" s="5"/>
      <c r="I232" s="5"/>
    </row>
    <row r="233" customHeight="1" spans="1:9">
      <c r="A233" s="21" t="s">
        <v>29</v>
      </c>
      <c r="B233" s="36">
        <v>1824</v>
      </c>
      <c r="C233" s="36" t="s">
        <v>32</v>
      </c>
      <c r="D233" s="36" t="s">
        <v>333</v>
      </c>
      <c r="E233" s="36" t="s">
        <v>334</v>
      </c>
      <c r="F233" s="37" t="s">
        <v>335</v>
      </c>
      <c r="G233" s="5"/>
      <c r="H233" s="5"/>
      <c r="I233" s="10"/>
    </row>
    <row r="234" customHeight="1" spans="1:9">
      <c r="A234" s="13" t="s">
        <v>42</v>
      </c>
      <c r="B234" s="36">
        <v>2299</v>
      </c>
      <c r="C234" s="36" t="s">
        <v>21</v>
      </c>
      <c r="D234" s="36" t="s">
        <v>43</v>
      </c>
      <c r="E234" s="36" t="s">
        <v>336</v>
      </c>
      <c r="F234" s="36"/>
      <c r="G234" s="10"/>
      <c r="H234" s="5"/>
      <c r="I234" s="5"/>
    </row>
    <row r="235" customHeight="1" spans="1:9">
      <c r="A235" s="4" t="s">
        <v>11</v>
      </c>
      <c r="B235" s="36">
        <v>1517</v>
      </c>
      <c r="C235" s="36" t="s">
        <v>12</v>
      </c>
      <c r="D235" s="36" t="s">
        <v>12</v>
      </c>
      <c r="E235" s="36" t="s">
        <v>337</v>
      </c>
      <c r="F235" s="36" t="s">
        <v>261</v>
      </c>
      <c r="G235" s="5"/>
      <c r="H235" s="5"/>
      <c r="I235" s="10"/>
    </row>
    <row r="236" customHeight="1" spans="1:9">
      <c r="A236" s="10" t="s">
        <v>338</v>
      </c>
      <c r="B236" s="38">
        <v>2533</v>
      </c>
      <c r="C236" s="38" t="s">
        <v>21</v>
      </c>
      <c r="D236" s="38" t="s">
        <v>22</v>
      </c>
      <c r="E236" s="38" t="s">
        <v>339</v>
      </c>
      <c r="F236" s="38" t="s">
        <v>340</v>
      </c>
      <c r="G236" s="10"/>
      <c r="H236" s="5"/>
      <c r="I236" s="5"/>
    </row>
    <row r="237" customHeight="1" spans="1:9">
      <c r="A237" s="10" t="s">
        <v>338</v>
      </c>
      <c r="B237" s="38">
        <v>1940</v>
      </c>
      <c r="C237" s="38" t="s">
        <v>50</v>
      </c>
      <c r="D237" s="38" t="s">
        <v>51</v>
      </c>
      <c r="E237" s="38" t="s">
        <v>341</v>
      </c>
      <c r="F237" s="38" t="s">
        <v>342</v>
      </c>
      <c r="G237" s="10"/>
      <c r="H237" s="5"/>
      <c r="I237" s="5"/>
    </row>
    <row r="238" customHeight="1" spans="1:9">
      <c r="A238" s="10" t="s">
        <v>338</v>
      </c>
      <c r="B238" s="38">
        <v>1650</v>
      </c>
      <c r="C238" s="38" t="e">
        <v>#N/A</v>
      </c>
      <c r="D238" s="38" t="s">
        <v>27</v>
      </c>
      <c r="E238" s="38" t="s">
        <v>343</v>
      </c>
      <c r="F238" s="38" t="s">
        <v>342</v>
      </c>
      <c r="G238" s="10"/>
      <c r="H238" s="5"/>
      <c r="I238" s="10"/>
    </row>
    <row r="239" customHeight="1" spans="1:9">
      <c r="A239" s="10" t="s">
        <v>338</v>
      </c>
      <c r="B239" s="38">
        <v>1688</v>
      </c>
      <c r="C239" s="38" t="e">
        <v>#N/A</v>
      </c>
      <c r="D239" s="38" t="s">
        <v>51</v>
      </c>
      <c r="E239" s="38" t="s">
        <v>344</v>
      </c>
      <c r="F239" s="38" t="s">
        <v>342</v>
      </c>
      <c r="G239" s="10"/>
      <c r="H239" s="5"/>
      <c r="I239" s="10"/>
    </row>
    <row r="240" customHeight="1" spans="1:9">
      <c r="A240" s="10" t="s">
        <v>338</v>
      </c>
      <c r="B240" s="38">
        <v>1471</v>
      </c>
      <c r="C240" s="38" t="e">
        <v>#N/A</v>
      </c>
      <c r="D240" s="38" t="s">
        <v>18</v>
      </c>
      <c r="E240" s="38" t="s">
        <v>345</v>
      </c>
      <c r="F240" s="38" t="s">
        <v>342</v>
      </c>
      <c r="G240" s="10"/>
      <c r="H240" s="5"/>
      <c r="I240" s="10"/>
    </row>
    <row r="241" customHeight="1" spans="1:9">
      <c r="A241" s="10" t="s">
        <v>338</v>
      </c>
      <c r="B241" s="38">
        <v>1598</v>
      </c>
      <c r="C241" s="38" t="e">
        <v>#N/A</v>
      </c>
      <c r="D241" s="38" t="s">
        <v>102</v>
      </c>
      <c r="E241" s="38" t="s">
        <v>346</v>
      </c>
      <c r="F241" s="38" t="s">
        <v>342</v>
      </c>
      <c r="G241" s="10"/>
      <c r="H241" s="5"/>
      <c r="I241" s="10"/>
    </row>
    <row r="242" customHeight="1" spans="1:9">
      <c r="A242" s="10" t="s">
        <v>338</v>
      </c>
      <c r="B242" s="38">
        <v>1651</v>
      </c>
      <c r="C242" s="38" t="e">
        <v>#N/A</v>
      </c>
      <c r="D242" s="38" t="s">
        <v>30</v>
      </c>
      <c r="E242" s="38" t="s">
        <v>347</v>
      </c>
      <c r="F242" s="38" t="s">
        <v>342</v>
      </c>
      <c r="G242" s="10"/>
      <c r="H242" s="5"/>
      <c r="I242" s="10"/>
    </row>
    <row r="243" customHeight="1" spans="1:9">
      <c r="A243" s="10" t="s">
        <v>338</v>
      </c>
      <c r="B243" s="38">
        <v>2182</v>
      </c>
      <c r="C243" s="38" t="s">
        <v>36</v>
      </c>
      <c r="D243" s="38" t="s">
        <v>27</v>
      </c>
      <c r="E243" s="38" t="s">
        <v>348</v>
      </c>
      <c r="F243" s="38" t="s">
        <v>349</v>
      </c>
      <c r="G243" s="10"/>
      <c r="H243" s="5"/>
      <c r="I243" s="5"/>
    </row>
    <row r="244" customHeight="1" spans="1:9">
      <c r="A244" s="10" t="s">
        <v>338</v>
      </c>
      <c r="B244" s="38">
        <v>2034</v>
      </c>
      <c r="C244" s="38" t="s">
        <v>32</v>
      </c>
      <c r="D244" s="38" t="s">
        <v>215</v>
      </c>
      <c r="E244" s="38" t="s">
        <v>350</v>
      </c>
      <c r="F244" s="38" t="s">
        <v>349</v>
      </c>
      <c r="G244" s="10"/>
      <c r="H244" s="5"/>
      <c r="I244" s="5"/>
    </row>
    <row r="245" customHeight="1" spans="1:9">
      <c r="A245" s="10" t="s">
        <v>338</v>
      </c>
      <c r="B245" s="38">
        <v>2168</v>
      </c>
      <c r="C245" s="38" t="s">
        <v>50</v>
      </c>
      <c r="D245" s="38" t="s">
        <v>93</v>
      </c>
      <c r="E245" s="38" t="s">
        <v>351</v>
      </c>
      <c r="F245" s="38" t="s">
        <v>352</v>
      </c>
      <c r="G245" s="10"/>
      <c r="H245" s="5"/>
      <c r="I245" s="5"/>
    </row>
    <row r="246" customHeight="1" spans="1:9">
      <c r="A246" s="10" t="s">
        <v>338</v>
      </c>
      <c r="B246" s="38">
        <v>2468</v>
      </c>
      <c r="C246" s="38" t="s">
        <v>97</v>
      </c>
      <c r="D246" s="38" t="s">
        <v>136</v>
      </c>
      <c r="E246" s="38" t="s">
        <v>353</v>
      </c>
      <c r="F246" s="38"/>
      <c r="G246" s="10"/>
      <c r="H246" s="5"/>
      <c r="I246" s="5"/>
    </row>
    <row r="247" customHeight="1" spans="1:9">
      <c r="A247" s="14" t="s">
        <v>49</v>
      </c>
      <c r="B247" s="38">
        <v>2497</v>
      </c>
      <c r="C247" s="38" t="s">
        <v>50</v>
      </c>
      <c r="D247" s="38" t="s">
        <v>51</v>
      </c>
      <c r="E247" s="38" t="s">
        <v>354</v>
      </c>
      <c r="F247" s="38" t="s">
        <v>355</v>
      </c>
      <c r="G247" s="5"/>
      <c r="H247" s="5"/>
      <c r="I247" s="5"/>
    </row>
    <row r="248" customHeight="1" spans="1:9">
      <c r="A248" s="14" t="s">
        <v>49</v>
      </c>
      <c r="B248" s="33">
        <v>2630</v>
      </c>
      <c r="C248" s="5" t="s">
        <v>50</v>
      </c>
      <c r="D248" s="5" t="s">
        <v>51</v>
      </c>
      <c r="E248" s="5" t="s">
        <v>356</v>
      </c>
      <c r="F248" s="5"/>
      <c r="G248" s="5"/>
      <c r="H248" s="5"/>
      <c r="I248" s="5"/>
    </row>
    <row r="249" customHeight="1" spans="1:9">
      <c r="A249" s="14" t="s">
        <v>49</v>
      </c>
      <c r="B249" s="5">
        <v>2636</v>
      </c>
      <c r="C249" s="16" t="s">
        <v>50</v>
      </c>
      <c r="D249" s="16" t="s">
        <v>51</v>
      </c>
      <c r="E249" s="16" t="s">
        <v>357</v>
      </c>
      <c r="F249" s="5"/>
      <c r="G249" s="5"/>
      <c r="H249" s="5"/>
      <c r="I249" s="5"/>
    </row>
    <row r="250" customHeight="1" spans="1:9">
      <c r="A250" s="14" t="s">
        <v>49</v>
      </c>
      <c r="B250" s="5">
        <v>2565</v>
      </c>
      <c r="C250" s="16" t="s">
        <v>50</v>
      </c>
      <c r="D250" s="16" t="s">
        <v>51</v>
      </c>
      <c r="E250" s="16" t="s">
        <v>358</v>
      </c>
      <c r="F250" s="5"/>
      <c r="G250" s="5"/>
      <c r="H250" s="5"/>
      <c r="I250" s="5"/>
    </row>
    <row r="251" customHeight="1" spans="1:9">
      <c r="A251" s="9" t="s">
        <v>20</v>
      </c>
      <c r="B251" s="33">
        <v>2619</v>
      </c>
      <c r="C251" s="16" t="s">
        <v>32</v>
      </c>
      <c r="D251" s="16" t="s">
        <v>39</v>
      </c>
      <c r="E251" s="16" t="s">
        <v>359</v>
      </c>
      <c r="F251" s="5"/>
      <c r="G251" s="5"/>
      <c r="H251" s="5"/>
      <c r="I251" s="5"/>
    </row>
    <row r="252" customHeight="1" spans="1:9">
      <c r="A252" s="9" t="s">
        <v>20</v>
      </c>
      <c r="B252" s="33">
        <v>2529</v>
      </c>
      <c r="C252" s="16" t="s">
        <v>32</v>
      </c>
      <c r="D252" s="16" t="s">
        <v>61</v>
      </c>
      <c r="E252" s="16" t="s">
        <v>360</v>
      </c>
      <c r="F252" s="5"/>
      <c r="G252" s="5"/>
      <c r="H252" s="5"/>
      <c r="I252" s="5"/>
    </row>
    <row r="253" customHeight="1" spans="1:9">
      <c r="A253" s="27" t="s">
        <v>42</v>
      </c>
      <c r="B253" s="33">
        <v>1685</v>
      </c>
      <c r="C253" s="5" t="s">
        <v>18</v>
      </c>
      <c r="D253" s="5" t="s">
        <v>18</v>
      </c>
      <c r="E253" s="5" t="s">
        <v>361</v>
      </c>
      <c r="F253" s="5"/>
      <c r="G253" s="5"/>
      <c r="H253" s="5"/>
      <c r="I253" s="5"/>
    </row>
    <row r="254" customHeight="1" spans="1:9">
      <c r="A254" s="14" t="s">
        <v>49</v>
      </c>
      <c r="B254" s="5">
        <v>2646</v>
      </c>
      <c r="C254" s="5" t="s">
        <v>50</v>
      </c>
      <c r="D254" s="5" t="s">
        <v>51</v>
      </c>
      <c r="E254" s="5" t="s">
        <v>362</v>
      </c>
      <c r="F254" s="5"/>
      <c r="G254" s="5"/>
      <c r="H254" s="5"/>
      <c r="I254" s="5"/>
    </row>
    <row r="255" customHeight="1" spans="1:9">
      <c r="A255" s="21" t="s">
        <v>29</v>
      </c>
      <c r="B255" s="33">
        <v>2298</v>
      </c>
      <c r="C255" s="16"/>
      <c r="D255" s="16" t="s">
        <v>47</v>
      </c>
      <c r="E255" s="16" t="s">
        <v>363</v>
      </c>
      <c r="F255" s="5"/>
      <c r="G255" s="5"/>
      <c r="H255" s="5"/>
      <c r="I255" s="5"/>
    </row>
    <row r="256" customHeight="1" spans="1:9">
      <c r="A256" s="13" t="s">
        <v>42</v>
      </c>
      <c r="B256" s="33">
        <v>2652</v>
      </c>
      <c r="C256" s="16"/>
      <c r="D256" s="16" t="s">
        <v>136</v>
      </c>
      <c r="E256" s="16" t="s">
        <v>364</v>
      </c>
      <c r="F256" s="5"/>
      <c r="G256" s="5"/>
      <c r="H256" s="5"/>
      <c r="I256" s="5"/>
    </row>
    <row r="257" customHeight="1" spans="1:11">
      <c r="A257" s="9" t="s">
        <v>20</v>
      </c>
      <c r="B257" s="33">
        <v>2653</v>
      </c>
      <c r="C257" s="16"/>
      <c r="D257" s="16" t="s">
        <v>365</v>
      </c>
      <c r="E257" s="16" t="s">
        <v>366</v>
      </c>
      <c r="F257" s="5"/>
      <c r="G257" s="5"/>
      <c r="H257" s="5"/>
      <c r="I257" s="5"/>
    </row>
    <row r="258" customHeight="1" spans="1:11">
      <c r="A258" t="s">
        <v>16</v>
      </c>
      <c r="B258" s="39">
        <v>246</v>
      </c>
      <c r="E258" s="40" t="s">
        <v>367</v>
      </c>
      <c r="J258" s="40" t="s">
        <v>35</v>
      </c>
      <c r="K258" s="41" t="s">
        <v>368</v>
      </c>
    </row>
    <row r="259" customHeight="1" spans="1:11">
      <c r="A259" t="s">
        <v>29</v>
      </c>
      <c r="B259" s="39">
        <v>2301</v>
      </c>
      <c r="E259" s="40" t="s">
        <v>369</v>
      </c>
      <c r="J259" s="40" t="s">
        <v>35</v>
      </c>
      <c r="K259" s="41" t="s">
        <v>370</v>
      </c>
    </row>
    <row r="260" customHeight="1" spans="1:11">
      <c r="A260" t="s">
        <v>16</v>
      </c>
      <c r="B260" s="39">
        <v>715</v>
      </c>
      <c r="E260" s="40" t="s">
        <v>371</v>
      </c>
      <c r="J260" s="40" t="s">
        <v>35</v>
      </c>
      <c r="K260" s="41" t="s">
        <v>372</v>
      </c>
    </row>
    <row r="261" customHeight="1" spans="1:11">
      <c r="A261" t="s">
        <v>11</v>
      </c>
      <c r="B261" s="39">
        <v>201</v>
      </c>
      <c r="E261" s="40" t="s">
        <v>373</v>
      </c>
      <c r="J261" s="40" t="s">
        <v>35</v>
      </c>
      <c r="K261" s="41" t="s">
        <v>374</v>
      </c>
    </row>
    <row r="262" customHeight="1" spans="1:11">
      <c r="A262" t="s">
        <v>29</v>
      </c>
      <c r="B262" s="39">
        <v>1255</v>
      </c>
      <c r="E262" s="40" t="s">
        <v>375</v>
      </c>
      <c r="J262" s="40" t="s">
        <v>35</v>
      </c>
      <c r="K262" s="41" t="s">
        <v>376</v>
      </c>
    </row>
    <row r="263" customHeight="1" spans="1:11">
      <c r="A263" t="s">
        <v>11</v>
      </c>
      <c r="B263" s="39">
        <v>1250</v>
      </c>
      <c r="E263" s="40" t="s">
        <v>377</v>
      </c>
      <c r="J263" s="40" t="s">
        <v>35</v>
      </c>
      <c r="K263" s="41" t="s">
        <v>378</v>
      </c>
    </row>
    <row r="264" customHeight="1" spans="1:11">
      <c r="A264" t="s">
        <v>11</v>
      </c>
      <c r="B264" s="39">
        <v>910</v>
      </c>
      <c r="E264" s="40" t="s">
        <v>379</v>
      </c>
      <c r="J264" s="40" t="s">
        <v>35</v>
      </c>
      <c r="K264" s="41" t="s">
        <v>380</v>
      </c>
    </row>
    <row r="265" customHeight="1" spans="1:11">
      <c r="A265" t="s">
        <v>29</v>
      </c>
      <c r="B265" s="39">
        <v>2273</v>
      </c>
      <c r="E265" s="40" t="s">
        <v>381</v>
      </c>
      <c r="J265" s="40" t="s">
        <v>73</v>
      </c>
      <c r="K265" s="41" t="s">
        <v>382</v>
      </c>
    </row>
    <row r="266" customHeight="1" spans="1:11">
      <c r="A266" t="s">
        <v>121</v>
      </c>
      <c r="B266" s="39">
        <v>1237</v>
      </c>
      <c r="E266" s="40" t="s">
        <v>383</v>
      </c>
      <c r="J266" s="40" t="s">
        <v>73</v>
      </c>
      <c r="K266" s="41" t="s">
        <v>384</v>
      </c>
    </row>
    <row r="267" customHeight="1" spans="1:11">
      <c r="A267" t="s">
        <v>11</v>
      </c>
      <c r="B267" s="39">
        <v>231</v>
      </c>
      <c r="E267" s="40" t="s">
        <v>385</v>
      </c>
      <c r="J267" s="40" t="s">
        <v>35</v>
      </c>
      <c r="K267" s="41" t="s">
        <v>386</v>
      </c>
    </row>
    <row r="268" customHeight="1" spans="1:11">
      <c r="A268" t="s">
        <v>16</v>
      </c>
      <c r="B268" s="39">
        <v>655</v>
      </c>
      <c r="E268" s="40" t="s">
        <v>387</v>
      </c>
      <c r="J268" s="40" t="s">
        <v>35</v>
      </c>
      <c r="K268" s="41" t="s">
        <v>388</v>
      </c>
    </row>
    <row r="269" customHeight="1" spans="1:11">
      <c r="A269" t="s">
        <v>25</v>
      </c>
      <c r="B269" s="39">
        <v>1835</v>
      </c>
      <c r="E269" s="40" t="s">
        <v>389</v>
      </c>
      <c r="J269" s="40" t="s">
        <v>35</v>
      </c>
      <c r="K269" s="41" t="s">
        <v>390</v>
      </c>
    </row>
    <row r="270" customHeight="1" spans="1:11">
      <c r="A270" t="s">
        <v>29</v>
      </c>
      <c r="B270" s="39">
        <v>1813</v>
      </c>
      <c r="E270" s="40" t="s">
        <v>391</v>
      </c>
      <c r="J270" s="40" t="s">
        <v>35</v>
      </c>
      <c r="K270" s="41" t="s">
        <v>392</v>
      </c>
    </row>
    <row r="271" customHeight="1" spans="1:11">
      <c r="A271" t="s">
        <v>25</v>
      </c>
      <c r="B271" s="39">
        <v>2153</v>
      </c>
      <c r="E271" s="40" t="s">
        <v>393</v>
      </c>
      <c r="J271" s="40" t="s">
        <v>73</v>
      </c>
      <c r="K271" s="41" t="s">
        <v>394</v>
      </c>
    </row>
    <row r="272" customHeight="1" spans="1:11">
      <c r="A272" t="s">
        <v>16</v>
      </c>
      <c r="B272" s="39">
        <v>1263</v>
      </c>
      <c r="E272" s="40" t="s">
        <v>395</v>
      </c>
      <c r="J272" s="40" t="s">
        <v>35</v>
      </c>
      <c r="K272" s="41" t="s">
        <v>396</v>
      </c>
    </row>
    <row r="273" customHeight="1" spans="1:11">
      <c r="A273" t="s">
        <v>11</v>
      </c>
      <c r="B273" s="39">
        <v>1483</v>
      </c>
      <c r="E273" s="40" t="s">
        <v>397</v>
      </c>
      <c r="J273" s="40" t="s">
        <v>73</v>
      </c>
      <c r="K273" s="41" t="s">
        <v>398</v>
      </c>
    </row>
    <row r="274" customHeight="1" spans="1:11">
      <c r="A274" t="s">
        <v>16</v>
      </c>
      <c r="B274" s="39">
        <v>460</v>
      </c>
      <c r="E274" s="40" t="s">
        <v>399</v>
      </c>
      <c r="J274" s="40" t="s">
        <v>35</v>
      </c>
      <c r="K274" s="41" t="s">
        <v>400</v>
      </c>
    </row>
    <row r="275" customHeight="1" spans="1:11">
      <c r="A275" t="s">
        <v>42</v>
      </c>
      <c r="B275" s="39">
        <v>249</v>
      </c>
      <c r="E275" s="40" t="s">
        <v>401</v>
      </c>
      <c r="J275" s="40" t="s">
        <v>35</v>
      </c>
      <c r="K275" s="41" t="s">
        <v>402</v>
      </c>
    </row>
    <row r="276" customHeight="1" spans="1:11">
      <c r="A276" t="s">
        <v>42</v>
      </c>
      <c r="B276" s="39">
        <v>1154</v>
      </c>
      <c r="E276" s="40" t="s">
        <v>403</v>
      </c>
      <c r="J276" s="40" t="s">
        <v>73</v>
      </c>
      <c r="K276" s="41" t="s">
        <v>404</v>
      </c>
    </row>
    <row r="277" customHeight="1" spans="1:11">
      <c r="A277" t="s">
        <v>49</v>
      </c>
      <c r="B277" s="39">
        <v>1110</v>
      </c>
      <c r="E277" s="40" t="s">
        <v>405</v>
      </c>
      <c r="J277" s="40" t="s">
        <v>35</v>
      </c>
      <c r="K277" s="41" t="s">
        <v>406</v>
      </c>
    </row>
    <row r="278" customHeight="1" spans="1:11">
      <c r="A278" t="s">
        <v>29</v>
      </c>
      <c r="B278" s="39">
        <v>1772</v>
      </c>
      <c r="E278" s="40" t="s">
        <v>407</v>
      </c>
      <c r="J278" s="40" t="s">
        <v>35</v>
      </c>
      <c r="K278" s="41" t="s">
        <v>408</v>
      </c>
    </row>
    <row r="279" customHeight="1" spans="1:11">
      <c r="A279" t="s">
        <v>16</v>
      </c>
      <c r="B279" s="39">
        <v>1215</v>
      </c>
      <c r="E279" s="40" t="s">
        <v>409</v>
      </c>
      <c r="J279" s="40" t="s">
        <v>73</v>
      </c>
      <c r="K279" s="41" t="s">
        <v>410</v>
      </c>
    </row>
    <row r="280" customHeight="1" spans="1:11">
      <c r="A280" t="s">
        <v>16</v>
      </c>
      <c r="B280" s="39">
        <v>1272</v>
      </c>
      <c r="E280" s="40" t="s">
        <v>411</v>
      </c>
      <c r="J280" s="40" t="s">
        <v>73</v>
      </c>
      <c r="K280" s="41" t="s">
        <v>412</v>
      </c>
    </row>
    <row r="281" customHeight="1" spans="1:11">
      <c r="A281" t="s">
        <v>11</v>
      </c>
      <c r="B281" s="39">
        <v>727</v>
      </c>
      <c r="E281" s="40" t="s">
        <v>413</v>
      </c>
      <c r="J281" s="40" t="s">
        <v>73</v>
      </c>
      <c r="K281" s="41" t="s">
        <v>414</v>
      </c>
    </row>
    <row r="282" customHeight="1" spans="1:11">
      <c r="A282" t="s">
        <v>20</v>
      </c>
      <c r="B282" s="39">
        <v>930</v>
      </c>
      <c r="E282" s="40" t="s">
        <v>415</v>
      </c>
      <c r="J282" s="40" t="s">
        <v>35</v>
      </c>
      <c r="K282" s="41" t="s">
        <v>416</v>
      </c>
    </row>
    <row r="283" customHeight="1" spans="1:11">
      <c r="A283" t="s">
        <v>42</v>
      </c>
      <c r="B283" s="39">
        <v>355</v>
      </c>
      <c r="E283" s="40" t="s">
        <v>417</v>
      </c>
      <c r="J283" s="40" t="s">
        <v>73</v>
      </c>
      <c r="K283" s="41" t="s">
        <v>418</v>
      </c>
    </row>
  </sheetData>
  <autoFilter xmlns:etc="http://www.wps.cn/officeDocument/2017/etCustomData" ref="A1:K25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江江</cp:lastModifiedBy>
  <dcterms:created xsi:type="dcterms:W3CDTF">2026-01-30T02:50:00Z</dcterms:created>
  <dcterms:modified xsi:type="dcterms:W3CDTF">2026-02-07T03:33:32Z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B7C512D6D9504932A52F7BDEC4DE9E14_11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